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sscunning/Projects/PENIP/data/conch/"/>
    </mc:Choice>
  </mc:AlternateContent>
  <xr:revisionPtr revIDLastSave="0" documentId="13_ncr:1_{99BE6DF5-0648-644E-9FF8-B319CF1E88BE}" xr6:coauthVersionLast="47" xr6:coauthVersionMax="47" xr10:uidLastSave="{00000000-0000-0000-0000-000000000000}"/>
  <bookViews>
    <workbookView xWindow="-37540" yWindow="1680" windowWidth="30140" windowHeight="18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K2" i="3"/>
  <c r="L2" i="3" s="1"/>
  <c r="M2" i="3" s="1"/>
  <c r="K3" i="3"/>
  <c r="L3" i="3" s="1"/>
  <c r="M3" i="3" s="1"/>
  <c r="K4" i="3"/>
  <c r="L4" i="3" s="1"/>
  <c r="M4" i="3" s="1"/>
  <c r="K5" i="3"/>
  <c r="L5" i="3" s="1"/>
  <c r="M5" i="3" s="1"/>
  <c r="K6" i="3"/>
  <c r="L6" i="3" s="1"/>
  <c r="M6" i="3" s="1"/>
  <c r="K7" i="3"/>
  <c r="L7" i="3" s="1"/>
  <c r="M7" i="3" s="1"/>
  <c r="K8" i="3"/>
  <c r="L8" i="3" s="1"/>
  <c r="M8" i="3" s="1"/>
  <c r="K9" i="3"/>
  <c r="L9" i="3" s="1"/>
  <c r="M9" i="3" s="1"/>
  <c r="K10" i="3"/>
  <c r="L10" i="3" s="1"/>
  <c r="M10" i="3" s="1"/>
  <c r="K11" i="3"/>
  <c r="L11" i="3" s="1"/>
  <c r="M11" i="3" s="1"/>
  <c r="K12" i="3"/>
  <c r="L12" i="3" s="1"/>
  <c r="M12" i="3" s="1"/>
  <c r="K13" i="3"/>
  <c r="L13" i="3" s="1"/>
  <c r="M13" i="3" s="1"/>
  <c r="K14" i="3"/>
  <c r="L14" i="3" s="1"/>
  <c r="M14" i="3" s="1"/>
  <c r="K15" i="3"/>
  <c r="L15" i="3" s="1"/>
  <c r="M15" i="3" s="1"/>
  <c r="K16" i="3"/>
  <c r="L16" i="3" s="1"/>
  <c r="M16" i="3" s="1"/>
  <c r="K17" i="3"/>
  <c r="L17" i="3" s="1"/>
  <c r="M17" i="3" s="1"/>
  <c r="K18" i="3"/>
  <c r="L18" i="3" s="1"/>
  <c r="M18" i="3" s="1"/>
  <c r="K19" i="3"/>
  <c r="L19" i="3" s="1"/>
  <c r="M19" i="3" s="1"/>
  <c r="K20" i="3"/>
  <c r="L20" i="3" s="1"/>
  <c r="M20" i="3" s="1"/>
  <c r="K21" i="3"/>
  <c r="L21" i="3" s="1"/>
  <c r="M21" i="3" s="1"/>
  <c r="K22" i="3"/>
  <c r="L22" i="3" s="1"/>
  <c r="M22" i="3" s="1"/>
  <c r="K23" i="3"/>
  <c r="L23" i="3" s="1"/>
  <c r="M23" i="3" s="1"/>
  <c r="K24" i="3"/>
  <c r="L24" i="3" s="1"/>
  <c r="M24" i="3" s="1"/>
  <c r="K25" i="3"/>
  <c r="L25" i="3" s="1"/>
  <c r="M25" i="3" s="1"/>
  <c r="K26" i="3"/>
  <c r="L26" i="3" s="1"/>
  <c r="M26" i="3" s="1"/>
  <c r="K27" i="3"/>
  <c r="L27" i="3" s="1"/>
  <c r="M27" i="3" s="1"/>
  <c r="K28" i="3"/>
  <c r="L28" i="3" s="1"/>
  <c r="M28" i="3" s="1"/>
  <c r="K29" i="3"/>
  <c r="L29" i="3" s="1"/>
  <c r="M29" i="3" s="1"/>
  <c r="K30" i="3"/>
  <c r="L30" i="3" s="1"/>
  <c r="M30" i="3" s="1"/>
  <c r="K31" i="3"/>
  <c r="L31" i="3" s="1"/>
  <c r="M31" i="3" s="1"/>
  <c r="K32" i="3"/>
  <c r="L32" i="3" s="1"/>
  <c r="M32" i="3" s="1"/>
  <c r="K33" i="3"/>
  <c r="L33" i="3" s="1"/>
  <c r="M33" i="3" s="1"/>
  <c r="K34" i="3"/>
  <c r="L34" i="3" s="1"/>
  <c r="M34" i="3" s="1"/>
  <c r="K35" i="3"/>
  <c r="L35" i="3" s="1"/>
  <c r="M35" i="3" s="1"/>
  <c r="K36" i="3"/>
  <c r="L36" i="3" s="1"/>
  <c r="M36" i="3" s="1"/>
  <c r="K37" i="3"/>
  <c r="L37" i="3" s="1"/>
  <c r="M37" i="3" s="1"/>
  <c r="K38" i="3"/>
  <c r="L38" i="3" s="1"/>
  <c r="M38" i="3" s="1"/>
  <c r="K39" i="3"/>
  <c r="L39" i="3" s="1"/>
  <c r="M39" i="3" s="1"/>
  <c r="K40" i="3"/>
  <c r="L40" i="3" s="1"/>
  <c r="M40" i="3" s="1"/>
  <c r="K41" i="3"/>
  <c r="L41" i="3" s="1"/>
  <c r="M41" i="3" s="1"/>
  <c r="K42" i="3"/>
  <c r="L42" i="3" s="1"/>
  <c r="M42" i="3" s="1"/>
  <c r="K43" i="3"/>
  <c r="L43" i="3" s="1"/>
  <c r="M43" i="3" s="1"/>
  <c r="K1" i="3"/>
  <c r="L1" i="3" s="1"/>
  <c r="M1" i="3" s="1"/>
  <c r="E15" i="3"/>
  <c r="E16" i="3"/>
  <c r="E17" i="3"/>
  <c r="E18" i="3"/>
  <c r="E35" i="3"/>
  <c r="E36" i="3"/>
  <c r="E37" i="3"/>
  <c r="E38" i="3"/>
  <c r="D2" i="3"/>
  <c r="E2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D16" i="3"/>
  <c r="D17" i="3"/>
  <c r="D18" i="3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D36" i="3"/>
  <c r="D37" i="3"/>
  <c r="D38" i="3"/>
  <c r="D39" i="3"/>
  <c r="E39" i="3" s="1"/>
  <c r="D40" i="3"/>
  <c r="E40" i="3" s="1"/>
  <c r="D41" i="3"/>
  <c r="E41" i="3" s="1"/>
  <c r="D42" i="3"/>
  <c r="E42" i="3" s="1"/>
  <c r="D43" i="3"/>
  <c r="E43" i="3" s="1"/>
  <c r="D1" i="3"/>
  <c r="E1" i="3" s="1"/>
  <c r="J2" i="2" l="1"/>
  <c r="K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I3" i="2"/>
  <c r="I4" i="2"/>
  <c r="I5" i="2"/>
  <c r="I6" i="2"/>
  <c r="I7" i="2"/>
  <c r="I8" i="2"/>
  <c r="I9" i="2"/>
  <c r="I10" i="2"/>
  <c r="I11" i="2"/>
  <c r="I12" i="2"/>
  <c r="J12" i="2" s="1"/>
  <c r="K12" i="2" s="1"/>
  <c r="I13" i="2"/>
  <c r="J13" i="2" s="1"/>
  <c r="K13" i="2" s="1"/>
  <c r="I14" i="2"/>
  <c r="J14" i="2" s="1"/>
  <c r="K14" i="2" s="1"/>
  <c r="I15" i="2"/>
  <c r="J15" i="2" s="1"/>
  <c r="K15" i="2" s="1"/>
  <c r="I16" i="2"/>
  <c r="J16" i="2" s="1"/>
  <c r="K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I24" i="2"/>
  <c r="I25" i="2"/>
  <c r="I26" i="2"/>
  <c r="I27" i="2"/>
  <c r="I28" i="2"/>
  <c r="I29" i="2"/>
  <c r="I30" i="2"/>
  <c r="I31" i="2"/>
  <c r="I2" i="2"/>
  <c r="E4" i="2"/>
  <c r="E5" i="2"/>
  <c r="E6" i="2"/>
  <c r="E7" i="2"/>
  <c r="E8" i="2"/>
  <c r="E9" i="2"/>
  <c r="E10" i="2"/>
  <c r="E11" i="2"/>
  <c r="E12" i="2"/>
  <c r="E24" i="2"/>
  <c r="E25" i="2"/>
  <c r="E26" i="2"/>
  <c r="E27" i="2"/>
  <c r="E28" i="2"/>
  <c r="E29" i="2"/>
  <c r="E30" i="2"/>
  <c r="E31" i="2"/>
  <c r="D3" i="2"/>
  <c r="E3" i="2" s="1"/>
  <c r="D4" i="2"/>
  <c r="D5" i="2"/>
  <c r="D6" i="2"/>
  <c r="D7" i="2"/>
  <c r="D8" i="2"/>
  <c r="D9" i="2"/>
  <c r="D10" i="2"/>
  <c r="D11" i="2"/>
  <c r="D12" i="2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D25" i="2"/>
  <c r="D26" i="2"/>
  <c r="D27" i="2"/>
  <c r="D28" i="2"/>
  <c r="D29" i="2"/>
  <c r="D30" i="2"/>
  <c r="D31" i="2"/>
  <c r="D2" i="2"/>
  <c r="E2" i="2" s="1"/>
</calcChain>
</file>

<file path=xl/sharedStrings.xml><?xml version="1.0" encoding="utf-8"?>
<sst xmlns="http://schemas.openxmlformats.org/spreadsheetml/2006/main" count="159" uniqueCount="112">
  <si>
    <t>ncpe2</t>
  </si>
  <si>
    <t>ncpe4</t>
  </si>
  <si>
    <t>ncpe5</t>
  </si>
  <si>
    <t>ncpw10</t>
  </si>
  <si>
    <t>ncpw3</t>
  </si>
  <si>
    <t>ncpw5</t>
  </si>
  <si>
    <t>ncpw6</t>
  </si>
  <si>
    <t>nir1</t>
  </si>
  <si>
    <t>nir5</t>
  </si>
  <si>
    <t>nir6</t>
  </si>
  <si>
    <t>scep9</t>
  </si>
  <si>
    <t>scpe1</t>
  </si>
  <si>
    <t>scpe8</t>
  </si>
  <si>
    <t>scpw1</t>
  </si>
  <si>
    <t>scpw10</t>
  </si>
  <si>
    <t>scpw2</t>
  </si>
  <si>
    <t>scpw3</t>
  </si>
  <si>
    <t>scpw4</t>
  </si>
  <si>
    <t>scpw5</t>
  </si>
  <si>
    <t>scpw7</t>
  </si>
  <si>
    <t>scpw9</t>
  </si>
  <si>
    <t>sir1</t>
  </si>
  <si>
    <t>sir3</t>
  </si>
  <si>
    <t>SIR6</t>
  </si>
  <si>
    <t>sir8</t>
  </si>
  <si>
    <t>sr1</t>
  </si>
  <si>
    <t>sr3a</t>
  </si>
  <si>
    <t>sr5</t>
  </si>
  <si>
    <t>sr7</t>
  </si>
  <si>
    <t>sr8</t>
  </si>
  <si>
    <t>Site</t>
  </si>
  <si>
    <t>Juv</t>
  </si>
  <si>
    <t>Old</t>
  </si>
  <si>
    <t>Sub</t>
  </si>
  <si>
    <t>Adult</t>
  </si>
  <si>
    <t>Young</t>
  </si>
  <si>
    <t>LatDM</t>
  </si>
  <si>
    <t>LonDM</t>
  </si>
  <si>
    <t>LatDD</t>
  </si>
  <si>
    <t>LonDD</t>
  </si>
  <si>
    <t>SCPE 2</t>
  </si>
  <si>
    <t>SCPE 3</t>
  </si>
  <si>
    <t>SCPE 4</t>
  </si>
  <si>
    <t>SCPE 5</t>
  </si>
  <si>
    <t>SCPE 6</t>
  </si>
  <si>
    <t>SCPE 10</t>
  </si>
  <si>
    <t>SIR 2</t>
  </si>
  <si>
    <t>SIR 4</t>
  </si>
  <si>
    <t>SIR 5</t>
  </si>
  <si>
    <t>SIR 7</t>
  </si>
  <si>
    <t>SIR 9</t>
  </si>
  <si>
    <t>SIR 10A</t>
  </si>
  <si>
    <t>SR 2</t>
  </si>
  <si>
    <t>SR 4</t>
  </si>
  <si>
    <t>SR 9</t>
  </si>
  <si>
    <t>SR 10</t>
  </si>
  <si>
    <t>SCPW 6</t>
  </si>
  <si>
    <t>NIR 3</t>
  </si>
  <si>
    <t>NIR 4</t>
  </si>
  <si>
    <t>NIR 7</t>
  </si>
  <si>
    <t>NIR 8</t>
  </si>
  <si>
    <t>NIR 9</t>
  </si>
  <si>
    <t>NIR 10</t>
  </si>
  <si>
    <t>NCPW 1</t>
  </si>
  <si>
    <t>NCPW 2</t>
  </si>
  <si>
    <t>NCPW 4</t>
  </si>
  <si>
    <t>NCPW 8</t>
  </si>
  <si>
    <t>NCPW 9</t>
  </si>
  <si>
    <t>NR 1</t>
  </si>
  <si>
    <t>NR 2</t>
  </si>
  <si>
    <t>NR 3</t>
  </si>
  <si>
    <t>NR 4</t>
  </si>
  <si>
    <t>NR 5</t>
  </si>
  <si>
    <t>NR 6</t>
  </si>
  <si>
    <t>NR 7</t>
  </si>
  <si>
    <t>NR 8</t>
  </si>
  <si>
    <t>NR 10</t>
  </si>
  <si>
    <t>NCPE 1</t>
  </si>
  <si>
    <t>NCPE 3</t>
  </si>
  <si>
    <t>NCPE 6</t>
  </si>
  <si>
    <t>NCPE 7</t>
  </si>
  <si>
    <t>NCPE 8</t>
  </si>
  <si>
    <t>NCPE 10</t>
  </si>
  <si>
    <t>NCPE 4</t>
  </si>
  <si>
    <t>NCPE 2</t>
  </si>
  <si>
    <t>NCPE 5</t>
  </si>
  <si>
    <t>NCPW 10</t>
  </si>
  <si>
    <t>NCPW 3</t>
  </si>
  <si>
    <t>NCPW 5</t>
  </si>
  <si>
    <t>NCPW 6</t>
  </si>
  <si>
    <t>NIR 1</t>
  </si>
  <si>
    <t>NIR 5</t>
  </si>
  <si>
    <t>NIR 6</t>
  </si>
  <si>
    <t>SCPE 9</t>
  </si>
  <si>
    <t>SCPE 1</t>
  </si>
  <si>
    <t>SCPE 8</t>
  </si>
  <si>
    <t>SCPW 1</t>
  </si>
  <si>
    <t>SCPW 10</t>
  </si>
  <si>
    <t>SCPW 2</t>
  </si>
  <si>
    <t>SCPW 3</t>
  </si>
  <si>
    <t>SCPW 4</t>
  </si>
  <si>
    <t>SCPW 5</t>
  </si>
  <si>
    <t>SCPW 7</t>
  </si>
  <si>
    <t>SCPW 9</t>
  </si>
  <si>
    <t>SIR 1</t>
  </si>
  <si>
    <t>SIR 3</t>
  </si>
  <si>
    <t>SIR 8</t>
  </si>
  <si>
    <t>SR 1</t>
  </si>
  <si>
    <t xml:space="preserve"> SR 3a</t>
  </si>
  <si>
    <t>SR 5</t>
  </si>
  <si>
    <t>SR 7</t>
  </si>
  <si>
    <t>SR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</si>
</sst>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" fontId="1" fillId="0" borderId="0" xfId="0" applyNumberFormat="1" applyFont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M13" sqref="M13"/>
    </sheetView>
  </sheetViews>
  <sheetFormatPr baseColWidth="10" defaultColWidth="8.83203125" defaultRowHeight="15" x14ac:dyDescent="0.2"/>
  <cols>
    <col min="1" max="1" width="9.1640625" style="7"/>
    <col min="2" max="2" width="16.1640625" style="5" customWidth="1"/>
    <col min="3" max="3" width="14.5" style="5" bestFit="1" customWidth="1"/>
    <col min="4" max="8" width="9.1640625" style="6"/>
  </cols>
  <sheetData>
    <row r="1" spans="1:13" x14ac:dyDescent="0.2">
      <c r="A1" s="7" t="s">
        <v>30</v>
      </c>
      <c r="B1" s="5" t="s">
        <v>38</v>
      </c>
      <c r="C1" s="5" t="s">
        <v>39</v>
      </c>
      <c r="D1" s="6" t="s">
        <v>34</v>
      </c>
      <c r="E1" s="6" t="s">
        <v>31</v>
      </c>
      <c r="F1" s="6" t="s">
        <v>32</v>
      </c>
      <c r="G1" s="6" t="s">
        <v>33</v>
      </c>
      <c r="H1" s="6" t="s">
        <v>35</v>
      </c>
    </row>
    <row r="2" spans="1:13" x14ac:dyDescent="0.2">
      <c r="A2" s="8" t="s">
        <v>84</v>
      </c>
      <c r="B2" s="5">
        <v>26.108630730000002</v>
      </c>
      <c r="C2" s="5">
        <v>-80.096973410000004</v>
      </c>
      <c r="D2" s="6">
        <v>0</v>
      </c>
      <c r="E2" s="6">
        <v>0</v>
      </c>
      <c r="F2" s="6">
        <v>0</v>
      </c>
      <c r="G2" s="6">
        <v>0</v>
      </c>
      <c r="H2" s="6">
        <v>1</v>
      </c>
    </row>
    <row r="3" spans="1:13" x14ac:dyDescent="0.2">
      <c r="A3" s="8" t="s">
        <v>83</v>
      </c>
      <c r="B3" s="5">
        <v>26.100304380000001</v>
      </c>
      <c r="C3" s="5">
        <v>-80.099008040000001</v>
      </c>
      <c r="D3" s="6">
        <v>0</v>
      </c>
      <c r="E3" s="6">
        <v>2</v>
      </c>
      <c r="F3" s="6">
        <v>0</v>
      </c>
      <c r="G3" s="6">
        <v>0</v>
      </c>
      <c r="H3" s="6">
        <v>0</v>
      </c>
    </row>
    <row r="4" spans="1:13" x14ac:dyDescent="0.2">
      <c r="A4" s="8" t="s">
        <v>85</v>
      </c>
      <c r="B4" s="5">
        <v>26.10496479</v>
      </c>
      <c r="C4" s="5">
        <v>-80.095922920000007</v>
      </c>
      <c r="D4" s="6">
        <v>0</v>
      </c>
      <c r="E4" s="6">
        <v>1</v>
      </c>
      <c r="F4" s="6">
        <v>0</v>
      </c>
      <c r="G4" s="6">
        <v>0</v>
      </c>
      <c r="H4" s="6">
        <v>0</v>
      </c>
    </row>
    <row r="5" spans="1:13" x14ac:dyDescent="0.2">
      <c r="A5" s="8" t="s">
        <v>86</v>
      </c>
      <c r="B5" s="5">
        <v>26.110863980000001</v>
      </c>
      <c r="C5" s="5">
        <v>-80.101433020000002</v>
      </c>
      <c r="D5" s="6">
        <v>0</v>
      </c>
      <c r="E5" s="6">
        <v>1</v>
      </c>
      <c r="F5" s="6">
        <v>0</v>
      </c>
      <c r="G5" s="6">
        <v>3</v>
      </c>
      <c r="H5" s="6">
        <v>4</v>
      </c>
    </row>
    <row r="6" spans="1:13" x14ac:dyDescent="0.2">
      <c r="A6" s="8" t="s">
        <v>87</v>
      </c>
      <c r="B6" s="5">
        <v>26.109255009999998</v>
      </c>
      <c r="C6" s="5">
        <v>-80.101416470000004</v>
      </c>
      <c r="D6" s="6">
        <v>0</v>
      </c>
      <c r="E6" s="6">
        <v>1</v>
      </c>
      <c r="F6" s="6">
        <v>0</v>
      </c>
      <c r="G6" s="6">
        <v>1</v>
      </c>
      <c r="H6" s="6">
        <v>4</v>
      </c>
    </row>
    <row r="7" spans="1:13" x14ac:dyDescent="0.2">
      <c r="A7" s="8" t="s">
        <v>88</v>
      </c>
      <c r="B7" s="5">
        <v>26.108180440000002</v>
      </c>
      <c r="C7" s="5">
        <v>-80.102525</v>
      </c>
      <c r="D7" s="6">
        <v>0</v>
      </c>
      <c r="E7" s="6">
        <v>1</v>
      </c>
      <c r="F7" s="6">
        <v>0</v>
      </c>
      <c r="G7" s="6">
        <v>0</v>
      </c>
      <c r="H7" s="6">
        <v>0</v>
      </c>
    </row>
    <row r="8" spans="1:13" x14ac:dyDescent="0.2">
      <c r="A8" s="8" t="s">
        <v>89</v>
      </c>
      <c r="B8" s="5">
        <v>26.107932040000001</v>
      </c>
      <c r="C8" s="5">
        <v>-80.101880859999994</v>
      </c>
      <c r="D8" s="6">
        <v>0</v>
      </c>
      <c r="E8" s="6">
        <v>1</v>
      </c>
      <c r="F8" s="6">
        <v>0</v>
      </c>
      <c r="G8" s="6">
        <v>1</v>
      </c>
      <c r="H8" s="6">
        <v>1</v>
      </c>
    </row>
    <row r="9" spans="1:13" x14ac:dyDescent="0.2">
      <c r="A9" s="8" t="s">
        <v>90</v>
      </c>
      <c r="B9" s="5">
        <v>26.108068079999999</v>
      </c>
      <c r="C9" s="5">
        <v>-80.100296850000007</v>
      </c>
      <c r="D9" s="6">
        <v>0</v>
      </c>
      <c r="E9" s="6">
        <v>1</v>
      </c>
      <c r="F9" s="6">
        <v>0</v>
      </c>
      <c r="G9" s="6">
        <v>0</v>
      </c>
      <c r="H9" s="6">
        <v>0</v>
      </c>
    </row>
    <row r="10" spans="1:13" x14ac:dyDescent="0.2">
      <c r="A10" s="8" t="s">
        <v>91</v>
      </c>
      <c r="B10" s="5">
        <v>26.10486328</v>
      </c>
      <c r="C10" s="5">
        <v>-80.100947880000007</v>
      </c>
      <c r="D10" s="6">
        <v>0</v>
      </c>
      <c r="E10" s="6">
        <v>1</v>
      </c>
      <c r="F10" s="6">
        <v>0</v>
      </c>
      <c r="G10" s="6">
        <v>1</v>
      </c>
      <c r="H10" s="6">
        <v>0</v>
      </c>
    </row>
    <row r="11" spans="1:13" x14ac:dyDescent="0.2">
      <c r="A11" s="8" t="s">
        <v>92</v>
      </c>
      <c r="B11" s="5">
        <v>26.10300286</v>
      </c>
      <c r="C11" s="5">
        <v>-80.101244089999994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</row>
    <row r="12" spans="1:13" x14ac:dyDescent="0.2">
      <c r="A12" s="8" t="s">
        <v>93</v>
      </c>
      <c r="B12" s="5">
        <v>26.088665750000001</v>
      </c>
      <c r="C12" s="5">
        <v>-80.100720769999995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  <c r="M12" s="6">
        <f>SUM(D2:H74)</f>
        <v>123</v>
      </c>
    </row>
    <row r="13" spans="1:13" x14ac:dyDescent="0.2">
      <c r="A13" s="8" t="s">
        <v>94</v>
      </c>
      <c r="B13" s="5">
        <v>26.089043960000001</v>
      </c>
      <c r="C13" s="5">
        <v>-80.098744210000007</v>
      </c>
      <c r="D13" s="6">
        <v>1</v>
      </c>
      <c r="E13" s="6">
        <v>0</v>
      </c>
      <c r="F13" s="6">
        <v>1</v>
      </c>
      <c r="G13" s="6">
        <v>0</v>
      </c>
      <c r="H13" s="6">
        <v>2</v>
      </c>
    </row>
    <row r="14" spans="1:13" x14ac:dyDescent="0.2">
      <c r="A14" s="8" t="s">
        <v>95</v>
      </c>
      <c r="B14" s="5">
        <v>26.087070359999998</v>
      </c>
      <c r="C14" s="5">
        <v>-80.098686209999997</v>
      </c>
      <c r="D14" s="6">
        <v>0</v>
      </c>
      <c r="E14" s="6">
        <v>0</v>
      </c>
      <c r="F14" s="6">
        <v>0</v>
      </c>
      <c r="G14" s="6">
        <v>2</v>
      </c>
      <c r="H14" s="6">
        <v>0</v>
      </c>
    </row>
    <row r="15" spans="1:13" x14ac:dyDescent="0.2">
      <c r="A15" s="8" t="s">
        <v>96</v>
      </c>
      <c r="B15" s="5">
        <v>26.08268824</v>
      </c>
      <c r="C15" s="5">
        <v>-80.108182429999999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</row>
    <row r="16" spans="1:13" x14ac:dyDescent="0.2">
      <c r="A16" s="8" t="s">
        <v>97</v>
      </c>
      <c r="B16" s="5">
        <v>26.077642780000001</v>
      </c>
      <c r="C16" s="5">
        <v>-80.10606817</v>
      </c>
      <c r="D16" s="6">
        <v>0</v>
      </c>
      <c r="E16" s="6">
        <v>2</v>
      </c>
      <c r="F16" s="6">
        <v>0</v>
      </c>
      <c r="G16" s="6">
        <v>7</v>
      </c>
      <c r="H16" s="6">
        <v>0</v>
      </c>
    </row>
    <row r="17" spans="1:8" x14ac:dyDescent="0.2">
      <c r="A17" s="8" t="s">
        <v>98</v>
      </c>
      <c r="B17" s="5">
        <v>26.082153040000001</v>
      </c>
      <c r="C17" s="5">
        <v>-80.105820309999999</v>
      </c>
      <c r="D17" s="6">
        <v>0</v>
      </c>
      <c r="E17" s="6">
        <v>1</v>
      </c>
      <c r="F17" s="6">
        <v>0</v>
      </c>
      <c r="G17" s="6">
        <v>8</v>
      </c>
      <c r="H17" s="6">
        <v>2</v>
      </c>
    </row>
    <row r="18" spans="1:8" x14ac:dyDescent="0.2">
      <c r="A18" s="8" t="s">
        <v>99</v>
      </c>
      <c r="B18" s="5">
        <v>26.084047999999999</v>
      </c>
      <c r="C18" s="5">
        <v>-80.106551839999995</v>
      </c>
      <c r="D18" s="6">
        <v>0</v>
      </c>
      <c r="E18" s="6">
        <v>0</v>
      </c>
      <c r="F18" s="6">
        <v>0</v>
      </c>
      <c r="G18" s="6">
        <v>0</v>
      </c>
      <c r="H18" s="6">
        <v>1</v>
      </c>
    </row>
    <row r="19" spans="1:8" x14ac:dyDescent="0.2">
      <c r="A19" s="8" t="s">
        <v>100</v>
      </c>
      <c r="B19" s="5">
        <v>26.079370449999999</v>
      </c>
      <c r="C19" s="5">
        <v>-80.107487120000002</v>
      </c>
      <c r="D19" s="6">
        <v>0</v>
      </c>
      <c r="E19" s="6">
        <v>3</v>
      </c>
      <c r="F19" s="6">
        <v>0</v>
      </c>
      <c r="G19" s="6">
        <v>5</v>
      </c>
      <c r="H19" s="6">
        <v>0</v>
      </c>
    </row>
    <row r="20" spans="1:8" x14ac:dyDescent="0.2">
      <c r="A20" s="8" t="s">
        <v>101</v>
      </c>
      <c r="B20" s="5">
        <v>26.089974720000001</v>
      </c>
      <c r="C20" s="5">
        <v>-80.105115150000003</v>
      </c>
      <c r="D20" s="6">
        <v>13</v>
      </c>
      <c r="E20" s="6">
        <v>0</v>
      </c>
      <c r="F20" s="6">
        <v>5</v>
      </c>
      <c r="G20" s="6">
        <v>0</v>
      </c>
      <c r="H20" s="6">
        <v>2</v>
      </c>
    </row>
    <row r="21" spans="1:8" x14ac:dyDescent="0.2">
      <c r="A21" s="8" t="s">
        <v>102</v>
      </c>
      <c r="B21" s="5">
        <v>26.08794747</v>
      </c>
      <c r="C21" s="5">
        <v>-80.10468693</v>
      </c>
      <c r="D21" s="6">
        <v>0</v>
      </c>
      <c r="E21" s="6">
        <v>5</v>
      </c>
      <c r="F21" s="6">
        <v>0</v>
      </c>
      <c r="G21" s="6">
        <v>12</v>
      </c>
      <c r="H21" s="6">
        <v>9</v>
      </c>
    </row>
    <row r="22" spans="1:8" x14ac:dyDescent="0.2">
      <c r="A22" s="8" t="s">
        <v>103</v>
      </c>
      <c r="B22" s="5">
        <v>26.086301169999999</v>
      </c>
      <c r="C22" s="5">
        <v>-80.105829069999999</v>
      </c>
      <c r="D22" s="6">
        <v>0</v>
      </c>
      <c r="E22" s="6">
        <v>0</v>
      </c>
      <c r="F22" s="6">
        <v>0</v>
      </c>
      <c r="G22" s="6">
        <v>1</v>
      </c>
      <c r="H22" s="6">
        <v>1</v>
      </c>
    </row>
    <row r="23" spans="1:8" x14ac:dyDescent="0.2">
      <c r="A23" s="8" t="s">
        <v>104</v>
      </c>
      <c r="B23" s="5">
        <v>26.07735594</v>
      </c>
      <c r="C23" s="5">
        <v>-80.094651200000001</v>
      </c>
      <c r="D23" s="6">
        <v>0</v>
      </c>
      <c r="E23" s="6">
        <v>1</v>
      </c>
      <c r="F23" s="6">
        <v>0</v>
      </c>
      <c r="G23" s="6">
        <v>0</v>
      </c>
      <c r="H23" s="6">
        <v>0</v>
      </c>
    </row>
    <row r="24" spans="1:8" x14ac:dyDescent="0.2">
      <c r="A24" s="8" t="s">
        <v>105</v>
      </c>
      <c r="B24" s="5">
        <v>26.085401130000001</v>
      </c>
      <c r="C24" s="5">
        <v>-80.09641087</v>
      </c>
      <c r="D24" s="6">
        <v>0</v>
      </c>
      <c r="E24" s="6">
        <v>0</v>
      </c>
      <c r="F24" s="6">
        <v>0</v>
      </c>
      <c r="G24" s="6">
        <v>0</v>
      </c>
      <c r="H24" s="6">
        <v>1</v>
      </c>
    </row>
    <row r="25" spans="1:8" x14ac:dyDescent="0.2">
      <c r="A25" s="8" t="s">
        <v>23</v>
      </c>
      <c r="B25" s="5">
        <v>26.089912680000001</v>
      </c>
      <c r="C25" s="5">
        <v>-80.098052839999994</v>
      </c>
      <c r="D25" s="6">
        <v>0</v>
      </c>
      <c r="E25" s="6">
        <v>0</v>
      </c>
      <c r="F25" s="6">
        <v>0</v>
      </c>
      <c r="G25" s="6">
        <v>0</v>
      </c>
      <c r="H25" s="6">
        <v>1</v>
      </c>
    </row>
    <row r="26" spans="1:8" x14ac:dyDescent="0.2">
      <c r="A26" s="8" t="s">
        <v>106</v>
      </c>
      <c r="B26" s="5">
        <v>26.089216390000001</v>
      </c>
      <c r="C26" s="5">
        <v>-80.095876160000003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</row>
    <row r="27" spans="1:8" x14ac:dyDescent="0.2">
      <c r="A27" s="8" t="s">
        <v>107</v>
      </c>
      <c r="B27" s="5">
        <v>26.077042670000001</v>
      </c>
      <c r="C27" s="5">
        <v>-80.104616669999999</v>
      </c>
      <c r="D27" s="6">
        <v>0</v>
      </c>
      <c r="E27" s="6">
        <v>0</v>
      </c>
      <c r="F27" s="6">
        <v>0</v>
      </c>
      <c r="G27" s="6">
        <v>0</v>
      </c>
      <c r="H27" s="6">
        <v>1</v>
      </c>
    </row>
    <row r="28" spans="1:8" x14ac:dyDescent="0.2">
      <c r="A28" s="8" t="s">
        <v>108</v>
      </c>
      <c r="B28" s="5">
        <v>26.090533333333333</v>
      </c>
      <c r="C28" s="5">
        <v>-80.103399999999993</v>
      </c>
      <c r="D28" s="6">
        <v>1</v>
      </c>
      <c r="E28" s="6">
        <v>0</v>
      </c>
      <c r="F28" s="6">
        <v>0</v>
      </c>
      <c r="G28" s="6">
        <v>0</v>
      </c>
      <c r="H28" s="6">
        <v>0</v>
      </c>
    </row>
    <row r="29" spans="1:8" x14ac:dyDescent="0.2">
      <c r="A29" s="8" t="s">
        <v>109</v>
      </c>
      <c r="B29" s="5">
        <v>26.08363417</v>
      </c>
      <c r="C29" s="5">
        <v>-80.103246089999999</v>
      </c>
      <c r="D29" s="6">
        <v>0</v>
      </c>
      <c r="E29" s="6">
        <v>3</v>
      </c>
      <c r="F29" s="6">
        <v>0</v>
      </c>
      <c r="G29" s="6">
        <v>0</v>
      </c>
      <c r="H29" s="6">
        <v>0</v>
      </c>
    </row>
    <row r="30" spans="1:8" x14ac:dyDescent="0.2">
      <c r="A30" s="8" t="s">
        <v>110</v>
      </c>
      <c r="B30" s="5">
        <v>26.0817801</v>
      </c>
      <c r="C30" s="5">
        <v>-80.103726050000006</v>
      </c>
      <c r="D30" s="6">
        <v>1</v>
      </c>
      <c r="E30" s="6">
        <v>0</v>
      </c>
      <c r="F30" s="6">
        <v>0</v>
      </c>
      <c r="G30" s="6">
        <v>0</v>
      </c>
      <c r="H30" s="6">
        <v>0</v>
      </c>
    </row>
    <row r="31" spans="1:8" x14ac:dyDescent="0.2">
      <c r="A31" s="8" t="s">
        <v>111</v>
      </c>
      <c r="B31" s="5">
        <v>26.07960594</v>
      </c>
      <c r="C31" s="5">
        <v>-80.103975250000005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</row>
    <row r="32" spans="1:8" x14ac:dyDescent="0.2">
      <c r="A32" s="9" t="s">
        <v>40</v>
      </c>
      <c r="B32" s="5">
        <v>26.078106330000001</v>
      </c>
      <c r="C32" s="5">
        <v>-80.102079410000002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x14ac:dyDescent="0.2">
      <c r="A33" s="9" t="s">
        <v>41</v>
      </c>
      <c r="B33" s="5">
        <v>26.081394159999999</v>
      </c>
      <c r="C33" s="5">
        <v>-80.101241909999999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</row>
    <row r="34" spans="1:8" x14ac:dyDescent="0.2">
      <c r="A34" s="9" t="s">
        <v>42</v>
      </c>
      <c r="B34" s="5">
        <v>26.0844582</v>
      </c>
      <c r="C34" s="5">
        <v>-80.101797779999998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x14ac:dyDescent="0.2">
      <c r="A35" s="9" t="s">
        <v>43</v>
      </c>
      <c r="B35" s="5">
        <v>26.08198806</v>
      </c>
      <c r="C35" s="5">
        <v>-80.098978930000001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x14ac:dyDescent="0.2">
      <c r="A36" s="9" t="s">
        <v>44</v>
      </c>
      <c r="B36" s="5">
        <v>26.08410129</v>
      </c>
      <c r="C36" s="5">
        <v>-80.099219180000006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</row>
    <row r="37" spans="1:8" x14ac:dyDescent="0.2">
      <c r="A37" s="9" t="s">
        <v>45</v>
      </c>
      <c r="B37" s="5">
        <v>26.086047669999999</v>
      </c>
      <c r="C37" s="5">
        <v>-80.101211210000002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2">
      <c r="A38" s="9" t="s">
        <v>46</v>
      </c>
      <c r="B38" s="5">
        <v>26.087116529999999</v>
      </c>
      <c r="C38" s="5">
        <v>-80.097733899999994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x14ac:dyDescent="0.2">
      <c r="A39" s="9" t="s">
        <v>47</v>
      </c>
      <c r="B39" s="5">
        <v>26.082240859999999</v>
      </c>
      <c r="C39" s="5">
        <v>-80.097363189999996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</row>
    <row r="40" spans="1:8" x14ac:dyDescent="0.2">
      <c r="A40" s="9" t="s">
        <v>48</v>
      </c>
      <c r="B40" s="5">
        <v>26.07689826</v>
      </c>
      <c r="C40" s="5">
        <v>-80.095266089999996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spans="1:8" x14ac:dyDescent="0.2">
      <c r="A41" s="9" t="s">
        <v>49</v>
      </c>
      <c r="B41" s="5">
        <v>26.088035789999999</v>
      </c>
      <c r="C41" s="5">
        <v>-80.095873859999998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x14ac:dyDescent="0.2">
      <c r="A42" s="9" t="s">
        <v>50</v>
      </c>
      <c r="B42" s="5">
        <v>26.083831060000001</v>
      </c>
      <c r="C42" s="5">
        <v>-80.098050200000003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x14ac:dyDescent="0.2">
      <c r="A43" s="9" t="s">
        <v>51</v>
      </c>
      <c r="B43" s="5">
        <v>26.089233333333333</v>
      </c>
      <c r="C43" s="5">
        <v>-80.096016666666671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</row>
    <row r="44" spans="1:8" x14ac:dyDescent="0.2">
      <c r="A44" s="9" t="s">
        <v>52</v>
      </c>
      <c r="B44" s="5">
        <v>26.086275530000002</v>
      </c>
      <c r="C44" s="5">
        <v>-80.103195650000004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spans="1:8" x14ac:dyDescent="0.2">
      <c r="A45" s="9" t="s">
        <v>53</v>
      </c>
      <c r="B45" s="5">
        <v>26.090754489999998</v>
      </c>
      <c r="C45" s="5">
        <v>-80.102679469999998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</row>
    <row r="46" spans="1:8" x14ac:dyDescent="0.2">
      <c r="A46" s="9" t="s">
        <v>54</v>
      </c>
      <c r="B46" s="5">
        <v>26.08891981</v>
      </c>
      <c r="C46" s="5">
        <v>-80.103167010000007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spans="1:8" x14ac:dyDescent="0.2">
      <c r="A47" s="9" t="s">
        <v>55</v>
      </c>
      <c r="B47" s="5">
        <v>26.07709079</v>
      </c>
      <c r="C47" s="5">
        <v>-80.103527819999996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x14ac:dyDescent="0.2">
      <c r="A48" s="9" t="s">
        <v>56</v>
      </c>
      <c r="B48" s="5">
        <v>26.08838377</v>
      </c>
      <c r="C48" s="5">
        <v>-80.106330139999997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x14ac:dyDescent="0.2">
      <c r="A49" s="9" t="s">
        <v>57</v>
      </c>
      <c r="B49" s="5">
        <v>26.105259449999998</v>
      </c>
      <c r="C49" s="5">
        <v>-80.093931499999997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x14ac:dyDescent="0.2">
      <c r="A50" s="9" t="s">
        <v>58</v>
      </c>
      <c r="B50" s="5">
        <v>26.10729113</v>
      </c>
      <c r="C50" s="5">
        <v>-80.094365830000001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spans="1:8" x14ac:dyDescent="0.2">
      <c r="A51" s="9" t="s">
        <v>59</v>
      </c>
      <c r="B51" s="5">
        <v>26.102412340000001</v>
      </c>
      <c r="C51" s="5">
        <v>-80.093390799999995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x14ac:dyDescent="0.2">
      <c r="A52" s="9" t="s">
        <v>60</v>
      </c>
      <c r="B52" s="5">
        <v>26.099968199999999</v>
      </c>
      <c r="C52" s="5">
        <v>-80.095439619999993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x14ac:dyDescent="0.2">
      <c r="A53" s="9" t="s">
        <v>61</v>
      </c>
      <c r="B53" s="5">
        <v>26.09867753</v>
      </c>
      <c r="C53" s="5">
        <v>-80.095748029999996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x14ac:dyDescent="0.2">
      <c r="A54" s="9" t="s">
        <v>62</v>
      </c>
      <c r="B54" s="5">
        <v>26.111442969999999</v>
      </c>
      <c r="C54" s="5">
        <v>-80.093325870000001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x14ac:dyDescent="0.2">
      <c r="A55" s="9" t="s">
        <v>63</v>
      </c>
      <c r="B55" s="5">
        <v>26.108897519999999</v>
      </c>
      <c r="C55" s="5">
        <v>-80.103050469999999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x14ac:dyDescent="0.2">
      <c r="A56" s="9" t="s">
        <v>64</v>
      </c>
      <c r="B56" s="5">
        <v>26.105818509999999</v>
      </c>
      <c r="C56" s="5">
        <v>-80.10245879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1:8" x14ac:dyDescent="0.2">
      <c r="A57" s="9" t="s">
        <v>65</v>
      </c>
      <c r="B57" s="5">
        <v>26.112021160000001</v>
      </c>
      <c r="C57" s="5">
        <v>-80.102226259999995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spans="1:8" x14ac:dyDescent="0.2">
      <c r="A58" s="9" t="s">
        <v>66</v>
      </c>
      <c r="B58" s="5">
        <v>26.104863569999999</v>
      </c>
      <c r="C58" s="5">
        <v>-80.102773690000006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x14ac:dyDescent="0.2">
      <c r="A59" s="9" t="s">
        <v>67</v>
      </c>
      <c r="B59" s="5">
        <v>26.110137170000002</v>
      </c>
      <c r="C59" s="5">
        <v>-80.102183089999997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spans="1:8" x14ac:dyDescent="0.2">
      <c r="A60" s="9" t="s">
        <v>68</v>
      </c>
      <c r="B60" s="5">
        <v>26.108068079999999</v>
      </c>
      <c r="C60" s="5">
        <v>-80.100296850000007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</row>
    <row r="61" spans="1:8" x14ac:dyDescent="0.2">
      <c r="A61" s="9" t="s">
        <v>69</v>
      </c>
      <c r="B61" s="5">
        <v>26.10122728</v>
      </c>
      <c r="C61" s="5">
        <v>-80.101570010000003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spans="1:8" x14ac:dyDescent="0.2">
      <c r="A62" s="9" t="s">
        <v>70</v>
      </c>
      <c r="B62" s="5">
        <v>26.102216309999999</v>
      </c>
      <c r="C62" s="5">
        <v>-80.100575120000002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</row>
    <row r="63" spans="1:8" x14ac:dyDescent="0.2">
      <c r="A63" s="9" t="s">
        <v>71</v>
      </c>
      <c r="B63" s="5">
        <v>26.106345600000001</v>
      </c>
      <c r="C63" s="5">
        <v>-80.100762849999995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</row>
    <row r="64" spans="1:8" x14ac:dyDescent="0.2">
      <c r="A64" s="9" t="s">
        <v>72</v>
      </c>
      <c r="B64" s="5">
        <v>26.10486328</v>
      </c>
      <c r="C64" s="5">
        <v>-80.100947880000007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</row>
    <row r="65" spans="1:8" x14ac:dyDescent="0.2">
      <c r="A65" s="9" t="s">
        <v>73</v>
      </c>
      <c r="B65" s="5">
        <v>26.10300286</v>
      </c>
      <c r="C65" s="5">
        <v>-80.101244089999994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</row>
    <row r="66" spans="1:8" x14ac:dyDescent="0.2">
      <c r="A66" s="9" t="s">
        <v>74</v>
      </c>
      <c r="B66" s="5">
        <v>26.099899300000001</v>
      </c>
      <c r="C66" s="5">
        <v>-80.101019629999996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x14ac:dyDescent="0.2">
      <c r="A67" s="9" t="s">
        <v>75</v>
      </c>
      <c r="B67" s="5">
        <v>26.099434290000001</v>
      </c>
      <c r="C67" s="5">
        <v>-80.102297059999998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</row>
    <row r="68" spans="1:8" x14ac:dyDescent="0.2">
      <c r="A68" s="9" t="s">
        <v>76</v>
      </c>
      <c r="B68" s="5">
        <v>26.09858517</v>
      </c>
      <c r="C68" s="5">
        <v>-80.101496949999998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</row>
    <row r="69" spans="1:8" x14ac:dyDescent="0.2">
      <c r="A69" s="9" t="s">
        <v>77</v>
      </c>
      <c r="B69" s="5">
        <v>26.10426266</v>
      </c>
      <c r="C69" s="5">
        <v>-80.099454260000002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spans="1:8" x14ac:dyDescent="0.2">
      <c r="A70" s="9" t="s">
        <v>78</v>
      </c>
      <c r="B70" s="5">
        <v>26.101901030000001</v>
      </c>
      <c r="C70" s="5">
        <v>-80.096396670000004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x14ac:dyDescent="0.2">
      <c r="A71" s="9" t="s">
        <v>79</v>
      </c>
      <c r="B71" s="5">
        <v>26.0984509</v>
      </c>
      <c r="C71" s="5">
        <v>-80.096718069999994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spans="1:8" x14ac:dyDescent="0.2">
      <c r="A72" s="9" t="s">
        <v>80</v>
      </c>
      <c r="B72" s="5">
        <v>26.109774420000001</v>
      </c>
      <c r="C72" s="5">
        <v>-80.095582486579303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</row>
    <row r="73" spans="1:8" x14ac:dyDescent="0.2">
      <c r="A73" s="9" t="s">
        <v>81</v>
      </c>
      <c r="B73" s="5">
        <v>26.102642410000001</v>
      </c>
      <c r="C73" s="5">
        <v>-80.098434780000005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spans="1:8" x14ac:dyDescent="0.2">
      <c r="A74" s="9" t="s">
        <v>82</v>
      </c>
      <c r="B74" s="5">
        <v>26.107067000000001</v>
      </c>
      <c r="C74" s="5">
        <v>-80.098951549999995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K2" sqref="K2:K31"/>
    </sheetView>
  </sheetViews>
  <sheetFormatPr baseColWidth="10" defaultColWidth="8.83203125" defaultRowHeight="15" x14ac:dyDescent="0.2"/>
  <cols>
    <col min="2" max="2" width="13.1640625" customWidth="1"/>
    <col min="5" max="5" width="11.5" bestFit="1" customWidth="1"/>
    <col min="7" max="7" width="13.1640625" bestFit="1" customWidth="1"/>
    <col min="10" max="11" width="12.33203125" bestFit="1" customWidth="1"/>
  </cols>
  <sheetData>
    <row r="1" spans="1:11" x14ac:dyDescent="0.2">
      <c r="A1" t="s">
        <v>30</v>
      </c>
      <c r="B1" s="2" t="s">
        <v>36</v>
      </c>
      <c r="E1" t="s">
        <v>38</v>
      </c>
      <c r="G1" s="2" t="s">
        <v>37</v>
      </c>
      <c r="J1" t="s">
        <v>39</v>
      </c>
    </row>
    <row r="2" spans="1:11" x14ac:dyDescent="0.2">
      <c r="A2" s="1" t="s">
        <v>0</v>
      </c>
      <c r="B2" s="2">
        <v>26</v>
      </c>
      <c r="C2">
        <v>6.5178437999999996</v>
      </c>
      <c r="D2">
        <f>C2/60</f>
        <v>0.10863072999999999</v>
      </c>
      <c r="E2" s="3">
        <f>B2+D2</f>
        <v>26.108630730000002</v>
      </c>
      <c r="G2" s="2">
        <v>80</v>
      </c>
      <c r="H2">
        <v>5.8184046</v>
      </c>
      <c r="I2">
        <f>H2/60</f>
        <v>9.6973409999999996E-2</v>
      </c>
      <c r="J2" s="3">
        <f>G2+I2</f>
        <v>80.096973410000004</v>
      </c>
      <c r="K2" s="3">
        <f>-J2</f>
        <v>-80.096973410000004</v>
      </c>
    </row>
    <row r="3" spans="1:11" x14ac:dyDescent="0.2">
      <c r="A3" s="1" t="s">
        <v>1</v>
      </c>
      <c r="B3" s="2">
        <v>26</v>
      </c>
      <c r="C3">
        <v>6.0182627999999996</v>
      </c>
      <c r="D3">
        <f t="shared" ref="D3:D31" si="0">C3/60</f>
        <v>0.10030438</v>
      </c>
      <c r="E3" s="3">
        <f t="shared" ref="E3:E31" si="1">B3+D3</f>
        <v>26.100304380000001</v>
      </c>
      <c r="G3" s="2">
        <v>80</v>
      </c>
      <c r="H3">
        <v>5.9404823999999996</v>
      </c>
      <c r="I3">
        <f t="shared" ref="I3:I31" si="2">H3/60</f>
        <v>9.9008039999999992E-2</v>
      </c>
      <c r="J3" s="3">
        <f t="shared" ref="J3:J31" si="3">G3+I3</f>
        <v>80.099008040000001</v>
      </c>
      <c r="K3" s="3">
        <f t="shared" ref="K3:K31" si="4">-J3</f>
        <v>-80.099008040000001</v>
      </c>
    </row>
    <row r="4" spans="1:11" x14ac:dyDescent="0.2">
      <c r="A4" s="1" t="s">
        <v>2</v>
      </c>
      <c r="B4" s="2">
        <v>26</v>
      </c>
      <c r="C4">
        <v>6.2978873999999996</v>
      </c>
      <c r="D4">
        <f t="shared" si="0"/>
        <v>0.10496478999999999</v>
      </c>
      <c r="E4" s="3">
        <f t="shared" si="1"/>
        <v>26.10496479</v>
      </c>
      <c r="G4" s="2">
        <v>80</v>
      </c>
      <c r="H4">
        <v>5.7553751999999996</v>
      </c>
      <c r="I4">
        <f t="shared" si="2"/>
        <v>9.5922919999999995E-2</v>
      </c>
      <c r="J4" s="3">
        <f t="shared" si="3"/>
        <v>80.095922920000007</v>
      </c>
      <c r="K4" s="3">
        <f t="shared" si="4"/>
        <v>-80.095922920000007</v>
      </c>
    </row>
    <row r="5" spans="1:11" x14ac:dyDescent="0.2">
      <c r="A5" s="1" t="s">
        <v>3</v>
      </c>
      <c r="B5" s="2">
        <v>26</v>
      </c>
      <c r="C5">
        <v>6.6518388000000002</v>
      </c>
      <c r="D5">
        <f t="shared" si="0"/>
        <v>0.11086398</v>
      </c>
      <c r="E5" s="3">
        <f t="shared" si="1"/>
        <v>26.110863980000001</v>
      </c>
      <c r="G5" s="2">
        <v>80</v>
      </c>
      <c r="H5">
        <v>6.0859812</v>
      </c>
      <c r="I5">
        <f t="shared" si="2"/>
        <v>0.10143302</v>
      </c>
      <c r="J5" s="3">
        <f t="shared" si="3"/>
        <v>80.101433020000002</v>
      </c>
      <c r="K5" s="3">
        <f t="shared" si="4"/>
        <v>-80.101433020000002</v>
      </c>
    </row>
    <row r="6" spans="1:11" x14ac:dyDescent="0.2">
      <c r="A6" s="1" t="s">
        <v>4</v>
      </c>
      <c r="B6" s="2">
        <v>26</v>
      </c>
      <c r="C6">
        <v>6.5553005999999998</v>
      </c>
      <c r="D6">
        <f t="shared" si="0"/>
        <v>0.10925501</v>
      </c>
      <c r="E6" s="3">
        <f t="shared" si="1"/>
        <v>26.109255009999998</v>
      </c>
      <c r="G6" s="2">
        <v>80</v>
      </c>
      <c r="H6">
        <v>6.0849881999999997</v>
      </c>
      <c r="I6">
        <f t="shared" si="2"/>
        <v>0.10141646999999999</v>
      </c>
      <c r="J6" s="3">
        <f t="shared" si="3"/>
        <v>80.101416470000004</v>
      </c>
      <c r="K6" s="3">
        <f t="shared" si="4"/>
        <v>-80.101416470000004</v>
      </c>
    </row>
    <row r="7" spans="1:11" x14ac:dyDescent="0.2">
      <c r="A7" s="1" t="s">
        <v>5</v>
      </c>
      <c r="B7" s="2">
        <v>26</v>
      </c>
      <c r="C7">
        <v>6.4908264000000004</v>
      </c>
      <c r="D7">
        <f t="shared" si="0"/>
        <v>0.10818044</v>
      </c>
      <c r="E7" s="3">
        <f t="shared" si="1"/>
        <v>26.108180440000002</v>
      </c>
      <c r="G7" s="2">
        <v>80</v>
      </c>
      <c r="H7">
        <v>6.1515000000000004</v>
      </c>
      <c r="I7">
        <f t="shared" si="2"/>
        <v>0.10252500000000001</v>
      </c>
      <c r="J7" s="3">
        <f t="shared" si="3"/>
        <v>80.102525</v>
      </c>
      <c r="K7" s="3">
        <f t="shared" si="4"/>
        <v>-80.102525</v>
      </c>
    </row>
    <row r="8" spans="1:11" x14ac:dyDescent="0.2">
      <c r="A8" s="1" t="s">
        <v>6</v>
      </c>
      <c r="B8" s="2">
        <v>26</v>
      </c>
      <c r="C8">
        <v>6.4759224</v>
      </c>
      <c r="D8">
        <f t="shared" si="0"/>
        <v>0.10793203999999999</v>
      </c>
      <c r="E8" s="3">
        <f t="shared" si="1"/>
        <v>26.107932040000001</v>
      </c>
      <c r="G8" s="2">
        <v>80</v>
      </c>
      <c r="H8">
        <v>6.1128515999999999</v>
      </c>
      <c r="I8">
        <f t="shared" si="2"/>
        <v>0.10188086</v>
      </c>
      <c r="J8" s="3">
        <f t="shared" si="3"/>
        <v>80.101880859999994</v>
      </c>
      <c r="K8" s="3">
        <f t="shared" si="4"/>
        <v>-80.101880859999994</v>
      </c>
    </row>
    <row r="9" spans="1:11" x14ac:dyDescent="0.2">
      <c r="A9" s="1" t="s">
        <v>7</v>
      </c>
      <c r="B9" s="2">
        <v>26</v>
      </c>
      <c r="C9">
        <v>6.4840847999999998</v>
      </c>
      <c r="D9">
        <f t="shared" si="0"/>
        <v>0.10806808</v>
      </c>
      <c r="E9" s="3">
        <f t="shared" si="1"/>
        <v>26.108068079999999</v>
      </c>
      <c r="G9" s="2">
        <v>80</v>
      </c>
      <c r="H9">
        <v>6.017811</v>
      </c>
      <c r="I9">
        <f t="shared" si="2"/>
        <v>0.10029685000000001</v>
      </c>
      <c r="J9" s="3">
        <f t="shared" si="3"/>
        <v>80.100296850000007</v>
      </c>
      <c r="K9" s="3">
        <f t="shared" si="4"/>
        <v>-80.100296850000007</v>
      </c>
    </row>
    <row r="10" spans="1:11" x14ac:dyDescent="0.2">
      <c r="A10" s="1" t="s">
        <v>8</v>
      </c>
      <c r="B10" s="2">
        <v>26</v>
      </c>
      <c r="C10">
        <v>6.2917968000000002</v>
      </c>
      <c r="D10">
        <f t="shared" si="0"/>
        <v>0.10486328</v>
      </c>
      <c r="E10" s="3">
        <f t="shared" si="1"/>
        <v>26.10486328</v>
      </c>
      <c r="G10" s="2">
        <v>80</v>
      </c>
      <c r="H10">
        <v>6.0568727999999998</v>
      </c>
      <c r="I10">
        <f t="shared" si="2"/>
        <v>0.10094788</v>
      </c>
      <c r="J10" s="3">
        <f t="shared" si="3"/>
        <v>80.100947880000007</v>
      </c>
      <c r="K10" s="3">
        <f t="shared" si="4"/>
        <v>-80.100947880000007</v>
      </c>
    </row>
    <row r="11" spans="1:11" x14ac:dyDescent="0.2">
      <c r="A11" s="1" t="s">
        <v>9</v>
      </c>
      <c r="B11" s="2">
        <v>26</v>
      </c>
      <c r="C11">
        <v>6.1801716000000004</v>
      </c>
      <c r="D11">
        <f t="shared" si="0"/>
        <v>0.10300286</v>
      </c>
      <c r="E11" s="3">
        <f t="shared" si="1"/>
        <v>26.10300286</v>
      </c>
      <c r="G11" s="2">
        <v>80</v>
      </c>
      <c r="H11">
        <v>6.0746453999999996</v>
      </c>
      <c r="I11">
        <f t="shared" si="2"/>
        <v>0.10124408999999999</v>
      </c>
      <c r="J11" s="3">
        <f t="shared" si="3"/>
        <v>80.101244089999994</v>
      </c>
      <c r="K11" s="3">
        <f t="shared" si="4"/>
        <v>-80.101244089999994</v>
      </c>
    </row>
    <row r="12" spans="1:11" x14ac:dyDescent="0.2">
      <c r="A12" s="1" t="s">
        <v>10</v>
      </c>
      <c r="B12" s="2">
        <v>26</v>
      </c>
      <c r="C12">
        <v>5.3199449999999997</v>
      </c>
      <c r="D12">
        <f t="shared" si="0"/>
        <v>8.8665750000000002E-2</v>
      </c>
      <c r="E12" s="3">
        <f t="shared" si="1"/>
        <v>26.088665750000001</v>
      </c>
      <c r="G12" s="2">
        <v>80</v>
      </c>
      <c r="H12">
        <v>6.0432461999999996</v>
      </c>
      <c r="I12">
        <f t="shared" si="2"/>
        <v>0.10072076999999999</v>
      </c>
      <c r="J12" s="3">
        <f t="shared" si="3"/>
        <v>80.100720769999995</v>
      </c>
      <c r="K12" s="3">
        <f t="shared" si="4"/>
        <v>-80.100720769999995</v>
      </c>
    </row>
    <row r="13" spans="1:11" x14ac:dyDescent="0.2">
      <c r="A13" s="1" t="s">
        <v>11</v>
      </c>
      <c r="B13" s="2">
        <v>26</v>
      </c>
      <c r="C13">
        <v>5.3426375999999998</v>
      </c>
      <c r="D13">
        <f t="shared" si="0"/>
        <v>8.9043959999999991E-2</v>
      </c>
      <c r="E13" s="3">
        <f t="shared" si="1"/>
        <v>26.089043960000001</v>
      </c>
      <c r="G13" s="2">
        <v>80</v>
      </c>
      <c r="H13">
        <v>5.9246525999999999</v>
      </c>
      <c r="I13">
        <f t="shared" si="2"/>
        <v>9.8744209999999999E-2</v>
      </c>
      <c r="J13" s="3">
        <f t="shared" si="3"/>
        <v>80.098744210000007</v>
      </c>
      <c r="K13" s="3">
        <f t="shared" si="4"/>
        <v>-80.098744210000007</v>
      </c>
    </row>
    <row r="14" spans="1:11" x14ac:dyDescent="0.2">
      <c r="A14" s="1" t="s">
        <v>12</v>
      </c>
      <c r="B14" s="2">
        <v>26</v>
      </c>
      <c r="C14">
        <v>5.2242215999999999</v>
      </c>
      <c r="D14">
        <f t="shared" si="0"/>
        <v>8.7070359999999999E-2</v>
      </c>
      <c r="E14" s="3">
        <f t="shared" si="1"/>
        <v>26.087070359999998</v>
      </c>
      <c r="G14" s="2">
        <v>80</v>
      </c>
      <c r="H14">
        <v>5.9211726000000002</v>
      </c>
      <c r="I14">
        <f t="shared" si="2"/>
        <v>9.868621000000001E-2</v>
      </c>
      <c r="J14" s="3">
        <f t="shared" si="3"/>
        <v>80.098686209999997</v>
      </c>
      <c r="K14" s="3">
        <f t="shared" si="4"/>
        <v>-80.098686209999997</v>
      </c>
    </row>
    <row r="15" spans="1:11" x14ac:dyDescent="0.2">
      <c r="A15" s="1" t="s">
        <v>13</v>
      </c>
      <c r="B15" s="2">
        <v>26</v>
      </c>
      <c r="C15">
        <v>4.9612943999999999</v>
      </c>
      <c r="D15">
        <f t="shared" si="0"/>
        <v>8.2688239999999996E-2</v>
      </c>
      <c r="E15" s="3">
        <f t="shared" si="1"/>
        <v>26.08268824</v>
      </c>
      <c r="G15" s="2">
        <v>80</v>
      </c>
      <c r="H15">
        <v>6.4909458000000004</v>
      </c>
      <c r="I15">
        <f t="shared" si="2"/>
        <v>0.10818243000000001</v>
      </c>
      <c r="J15" s="3">
        <f t="shared" si="3"/>
        <v>80.108182429999999</v>
      </c>
      <c r="K15" s="3">
        <f t="shared" si="4"/>
        <v>-80.108182429999999</v>
      </c>
    </row>
    <row r="16" spans="1:11" x14ac:dyDescent="0.2">
      <c r="A16" s="1" t="s">
        <v>14</v>
      </c>
      <c r="B16" s="2">
        <v>26</v>
      </c>
      <c r="C16">
        <v>4.6585668</v>
      </c>
      <c r="D16">
        <f t="shared" si="0"/>
        <v>7.7642779999999995E-2</v>
      </c>
      <c r="E16" s="3">
        <f t="shared" si="1"/>
        <v>26.077642780000001</v>
      </c>
      <c r="G16" s="2">
        <v>80</v>
      </c>
      <c r="H16">
        <v>6.3640901999999997</v>
      </c>
      <c r="I16">
        <f t="shared" si="2"/>
        <v>0.10606816999999999</v>
      </c>
      <c r="J16" s="3">
        <f t="shared" si="3"/>
        <v>80.10606817</v>
      </c>
      <c r="K16" s="3">
        <f t="shared" si="4"/>
        <v>-80.10606817</v>
      </c>
    </row>
    <row r="17" spans="1:11" x14ac:dyDescent="0.2">
      <c r="A17" s="1" t="s">
        <v>15</v>
      </c>
      <c r="B17" s="2">
        <v>26</v>
      </c>
      <c r="C17">
        <v>4.9291824000000002</v>
      </c>
      <c r="D17">
        <f t="shared" si="0"/>
        <v>8.2153039999999997E-2</v>
      </c>
      <c r="E17" s="3">
        <f t="shared" si="1"/>
        <v>26.082153040000001</v>
      </c>
      <c r="G17" s="2">
        <v>80</v>
      </c>
      <c r="H17">
        <v>6.3492186000000004</v>
      </c>
      <c r="I17">
        <f t="shared" si="2"/>
        <v>0.10582031</v>
      </c>
      <c r="J17" s="3">
        <f t="shared" si="3"/>
        <v>80.105820309999999</v>
      </c>
      <c r="K17" s="3">
        <f t="shared" si="4"/>
        <v>-80.105820309999999</v>
      </c>
    </row>
    <row r="18" spans="1:11" x14ac:dyDescent="0.2">
      <c r="A18" s="1" t="s">
        <v>16</v>
      </c>
      <c r="B18" s="2">
        <v>26</v>
      </c>
      <c r="C18">
        <v>5.0428800000000003</v>
      </c>
      <c r="D18">
        <f t="shared" si="0"/>
        <v>8.4047999999999998E-2</v>
      </c>
      <c r="E18" s="3">
        <f t="shared" si="1"/>
        <v>26.084047999999999</v>
      </c>
      <c r="G18" s="2">
        <v>80</v>
      </c>
      <c r="H18">
        <v>6.3931104000000003</v>
      </c>
      <c r="I18">
        <f t="shared" si="2"/>
        <v>0.10655184000000001</v>
      </c>
      <c r="J18" s="3">
        <f t="shared" si="3"/>
        <v>80.106551839999995</v>
      </c>
      <c r="K18" s="3">
        <f t="shared" si="4"/>
        <v>-80.106551839999995</v>
      </c>
    </row>
    <row r="19" spans="1:11" x14ac:dyDescent="0.2">
      <c r="A19" s="1" t="s">
        <v>17</v>
      </c>
      <c r="B19" s="2">
        <v>26</v>
      </c>
      <c r="C19">
        <v>4.7622270000000002</v>
      </c>
      <c r="D19">
        <f t="shared" si="0"/>
        <v>7.9370450000000009E-2</v>
      </c>
      <c r="E19" s="3">
        <f t="shared" si="1"/>
        <v>26.079370449999999</v>
      </c>
      <c r="G19" s="2">
        <v>80</v>
      </c>
      <c r="H19">
        <v>6.4492272000000002</v>
      </c>
      <c r="I19">
        <f t="shared" si="2"/>
        <v>0.10748712000000001</v>
      </c>
      <c r="J19" s="3">
        <f t="shared" si="3"/>
        <v>80.107487120000002</v>
      </c>
      <c r="K19" s="3">
        <f t="shared" si="4"/>
        <v>-80.107487120000002</v>
      </c>
    </row>
    <row r="20" spans="1:11" x14ac:dyDescent="0.2">
      <c r="A20" s="1" t="s">
        <v>18</v>
      </c>
      <c r="B20" s="2">
        <v>26</v>
      </c>
      <c r="C20">
        <v>5.3984832000000003</v>
      </c>
      <c r="D20">
        <f t="shared" si="0"/>
        <v>8.9974720000000008E-2</v>
      </c>
      <c r="E20" s="3">
        <f t="shared" si="1"/>
        <v>26.089974720000001</v>
      </c>
      <c r="G20" s="2">
        <v>80</v>
      </c>
      <c r="H20">
        <v>6.3069090000000001</v>
      </c>
      <c r="I20">
        <f t="shared" si="2"/>
        <v>0.10511515</v>
      </c>
      <c r="J20" s="3">
        <f t="shared" si="3"/>
        <v>80.105115150000003</v>
      </c>
      <c r="K20" s="3">
        <f t="shared" si="4"/>
        <v>-80.105115150000003</v>
      </c>
    </row>
    <row r="21" spans="1:11" x14ac:dyDescent="0.2">
      <c r="A21" s="1" t="s">
        <v>19</v>
      </c>
      <c r="B21" s="2">
        <v>26</v>
      </c>
      <c r="C21">
        <v>5.2768481999999999</v>
      </c>
      <c r="D21">
        <f t="shared" si="0"/>
        <v>8.794747E-2</v>
      </c>
      <c r="E21" s="3">
        <f t="shared" si="1"/>
        <v>26.08794747</v>
      </c>
      <c r="G21" s="2">
        <v>80</v>
      </c>
      <c r="H21">
        <v>6.2812158</v>
      </c>
      <c r="I21">
        <f t="shared" si="2"/>
        <v>0.10468693</v>
      </c>
      <c r="J21" s="3">
        <f t="shared" si="3"/>
        <v>80.10468693</v>
      </c>
      <c r="K21" s="3">
        <f t="shared" si="4"/>
        <v>-80.10468693</v>
      </c>
    </row>
    <row r="22" spans="1:11" x14ac:dyDescent="0.2">
      <c r="A22" s="1" t="s">
        <v>20</v>
      </c>
      <c r="B22" s="2">
        <v>26</v>
      </c>
      <c r="C22">
        <v>5.1780701999999996</v>
      </c>
      <c r="D22">
        <f t="shared" si="0"/>
        <v>8.6301169999999996E-2</v>
      </c>
      <c r="E22" s="3">
        <f t="shared" si="1"/>
        <v>26.086301169999999</v>
      </c>
      <c r="G22" s="2">
        <v>80</v>
      </c>
      <c r="H22">
        <v>6.3497441999999999</v>
      </c>
      <c r="I22">
        <f t="shared" si="2"/>
        <v>0.10582907</v>
      </c>
      <c r="J22" s="3">
        <f t="shared" si="3"/>
        <v>80.105829069999999</v>
      </c>
      <c r="K22" s="3">
        <f t="shared" si="4"/>
        <v>-80.105829069999999</v>
      </c>
    </row>
    <row r="23" spans="1:11" x14ac:dyDescent="0.2">
      <c r="A23" s="1" t="s">
        <v>21</v>
      </c>
      <c r="B23" s="2">
        <v>26</v>
      </c>
      <c r="C23">
        <v>4.6413564000000003</v>
      </c>
      <c r="D23">
        <f t="shared" si="0"/>
        <v>7.7355939999999998E-2</v>
      </c>
      <c r="E23" s="3">
        <f t="shared" si="1"/>
        <v>26.07735594</v>
      </c>
      <c r="G23" s="2">
        <v>80</v>
      </c>
      <c r="H23">
        <v>5.6790719999999997</v>
      </c>
      <c r="I23">
        <f t="shared" si="2"/>
        <v>9.4651199999999991E-2</v>
      </c>
      <c r="J23" s="3">
        <f t="shared" si="3"/>
        <v>80.094651200000001</v>
      </c>
      <c r="K23" s="3">
        <f t="shared" si="4"/>
        <v>-80.094651200000001</v>
      </c>
    </row>
    <row r="24" spans="1:11" x14ac:dyDescent="0.2">
      <c r="A24" s="1" t="s">
        <v>22</v>
      </c>
      <c r="B24" s="2">
        <v>26</v>
      </c>
      <c r="C24">
        <v>5.1240677999999997</v>
      </c>
      <c r="D24">
        <f t="shared" si="0"/>
        <v>8.5401129999999992E-2</v>
      </c>
      <c r="E24" s="3">
        <f t="shared" si="1"/>
        <v>26.085401130000001</v>
      </c>
      <c r="G24" s="2">
        <v>80</v>
      </c>
      <c r="H24">
        <v>5.7846522</v>
      </c>
      <c r="I24">
        <f t="shared" si="2"/>
        <v>9.6410869999999996E-2</v>
      </c>
      <c r="J24" s="3">
        <f t="shared" si="3"/>
        <v>80.09641087</v>
      </c>
      <c r="K24" s="3">
        <f t="shared" si="4"/>
        <v>-80.09641087</v>
      </c>
    </row>
    <row r="25" spans="1:11" x14ac:dyDescent="0.2">
      <c r="A25" s="1" t="s">
        <v>23</v>
      </c>
      <c r="B25" s="2">
        <v>26</v>
      </c>
      <c r="C25">
        <v>5.3947608000000002</v>
      </c>
      <c r="D25">
        <f t="shared" si="0"/>
        <v>8.9912680000000009E-2</v>
      </c>
      <c r="E25" s="3">
        <f t="shared" si="1"/>
        <v>26.089912680000001</v>
      </c>
      <c r="G25" s="2">
        <v>80</v>
      </c>
      <c r="H25">
        <v>5.8831704</v>
      </c>
      <c r="I25">
        <f t="shared" si="2"/>
        <v>9.8052840000000002E-2</v>
      </c>
      <c r="J25" s="3">
        <f t="shared" si="3"/>
        <v>80.098052839999994</v>
      </c>
      <c r="K25" s="3">
        <f t="shared" si="4"/>
        <v>-80.098052839999994</v>
      </c>
    </row>
    <row r="26" spans="1:11" x14ac:dyDescent="0.2">
      <c r="A26" s="1" t="s">
        <v>24</v>
      </c>
      <c r="B26" s="2">
        <v>26</v>
      </c>
      <c r="C26">
        <v>5.3529834000000003</v>
      </c>
      <c r="D26">
        <f t="shared" si="0"/>
        <v>8.9216390000000007E-2</v>
      </c>
      <c r="E26" s="3">
        <f t="shared" si="1"/>
        <v>26.089216390000001</v>
      </c>
      <c r="G26" s="2">
        <v>80</v>
      </c>
      <c r="H26">
        <v>5.7525696000000002</v>
      </c>
      <c r="I26">
        <f t="shared" si="2"/>
        <v>9.5876160000000002E-2</v>
      </c>
      <c r="J26" s="3">
        <f t="shared" si="3"/>
        <v>80.095876160000003</v>
      </c>
      <c r="K26" s="3">
        <f t="shared" si="4"/>
        <v>-80.095876160000003</v>
      </c>
    </row>
    <row r="27" spans="1:11" x14ac:dyDescent="0.2">
      <c r="A27" s="1" t="s">
        <v>25</v>
      </c>
      <c r="B27" s="2">
        <v>26</v>
      </c>
      <c r="C27">
        <v>4.6225601999999997</v>
      </c>
      <c r="D27">
        <f t="shared" si="0"/>
        <v>7.7042669999999994E-2</v>
      </c>
      <c r="E27" s="3">
        <f t="shared" si="1"/>
        <v>26.077042670000001</v>
      </c>
      <c r="G27" s="2">
        <v>80</v>
      </c>
      <c r="H27">
        <v>6.2770001999999998</v>
      </c>
      <c r="I27">
        <f t="shared" si="2"/>
        <v>0.10461666999999999</v>
      </c>
      <c r="J27" s="3">
        <f t="shared" si="3"/>
        <v>80.104616669999999</v>
      </c>
      <c r="K27" s="3">
        <f t="shared" si="4"/>
        <v>-80.104616669999999</v>
      </c>
    </row>
    <row r="28" spans="1:11" x14ac:dyDescent="0.2">
      <c r="A28" s="1" t="s">
        <v>26</v>
      </c>
      <c r="B28" s="2">
        <v>26</v>
      </c>
      <c r="C28">
        <v>5.4320000000000004</v>
      </c>
      <c r="D28">
        <f t="shared" si="0"/>
        <v>9.0533333333333341E-2</v>
      </c>
      <c r="E28" s="3">
        <f t="shared" si="1"/>
        <v>26.090533333333333</v>
      </c>
      <c r="G28" s="2">
        <v>80</v>
      </c>
      <c r="H28">
        <v>6.2039999999999997</v>
      </c>
      <c r="I28">
        <f t="shared" si="2"/>
        <v>0.10339999999999999</v>
      </c>
      <c r="J28" s="3">
        <f t="shared" si="3"/>
        <v>80.103399999999993</v>
      </c>
      <c r="K28" s="3">
        <f t="shared" si="4"/>
        <v>-80.103399999999993</v>
      </c>
    </row>
    <row r="29" spans="1:11" x14ac:dyDescent="0.2">
      <c r="A29" s="1" t="s">
        <v>27</v>
      </c>
      <c r="B29" s="2">
        <v>26</v>
      </c>
      <c r="C29">
        <v>5.0180502000000002</v>
      </c>
      <c r="D29">
        <f t="shared" si="0"/>
        <v>8.3634170000000008E-2</v>
      </c>
      <c r="E29" s="3">
        <f t="shared" si="1"/>
        <v>26.08363417</v>
      </c>
      <c r="G29" s="2">
        <v>80</v>
      </c>
      <c r="H29">
        <v>6.1947653999999996</v>
      </c>
      <c r="I29">
        <f t="shared" si="2"/>
        <v>0.10324609</v>
      </c>
      <c r="J29" s="3">
        <f t="shared" si="3"/>
        <v>80.103246089999999</v>
      </c>
      <c r="K29" s="3">
        <f t="shared" si="4"/>
        <v>-80.103246089999999</v>
      </c>
    </row>
    <row r="30" spans="1:11" x14ac:dyDescent="0.2">
      <c r="A30" s="1" t="s">
        <v>28</v>
      </c>
      <c r="B30" s="2">
        <v>26</v>
      </c>
      <c r="C30">
        <v>4.9068059999999996</v>
      </c>
      <c r="D30">
        <f t="shared" si="0"/>
        <v>8.1780099999999994E-2</v>
      </c>
      <c r="E30" s="3">
        <f t="shared" si="1"/>
        <v>26.0817801</v>
      </c>
      <c r="G30" s="2">
        <v>80</v>
      </c>
      <c r="H30">
        <v>6.2235630000000004</v>
      </c>
      <c r="I30">
        <f t="shared" si="2"/>
        <v>0.10372605</v>
      </c>
      <c r="J30" s="3">
        <f t="shared" si="3"/>
        <v>80.103726050000006</v>
      </c>
      <c r="K30" s="3">
        <f t="shared" si="4"/>
        <v>-80.103726050000006</v>
      </c>
    </row>
    <row r="31" spans="1:11" x14ac:dyDescent="0.2">
      <c r="A31" s="1" t="s">
        <v>29</v>
      </c>
      <c r="B31" s="2">
        <v>26</v>
      </c>
      <c r="C31">
        <v>4.7763564000000001</v>
      </c>
      <c r="D31">
        <f t="shared" si="0"/>
        <v>7.960594E-2</v>
      </c>
      <c r="E31" s="3">
        <f t="shared" si="1"/>
        <v>26.07960594</v>
      </c>
      <c r="G31" s="2">
        <v>80</v>
      </c>
      <c r="H31">
        <v>6.2385149999999996</v>
      </c>
      <c r="I31">
        <f t="shared" si="2"/>
        <v>0.10397524999999999</v>
      </c>
      <c r="J31" s="3">
        <f t="shared" si="3"/>
        <v>80.103975250000005</v>
      </c>
      <c r="K31" s="3">
        <f t="shared" si="4"/>
        <v>-80.103975250000005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"/>
  <sheetViews>
    <sheetView workbookViewId="0">
      <selection activeCell="M1" sqref="M1:M43"/>
    </sheetView>
  </sheetViews>
  <sheetFormatPr baseColWidth="10" defaultColWidth="8.83203125" defaultRowHeight="15" x14ac:dyDescent="0.2"/>
  <cols>
    <col min="1" max="1" width="7.6640625" bestFit="1" customWidth="1"/>
    <col min="2" max="2" width="13.1640625" bestFit="1" customWidth="1"/>
    <col min="5" max="5" width="11.5" bestFit="1" customWidth="1"/>
    <col min="9" max="9" width="13.1640625" bestFit="1" customWidth="1"/>
    <col min="12" max="12" width="11.5" bestFit="1" customWidth="1"/>
  </cols>
  <sheetData>
    <row r="1" spans="1:13" x14ac:dyDescent="0.2">
      <c r="A1" s="4" t="s">
        <v>40</v>
      </c>
      <c r="B1" s="2">
        <v>26</v>
      </c>
      <c r="C1">
        <v>4.6863798000000001</v>
      </c>
      <c r="D1">
        <f>C1/60</f>
        <v>7.8106330000000002E-2</v>
      </c>
      <c r="E1" s="3">
        <f>B1+D1</f>
        <v>26.078106330000001</v>
      </c>
      <c r="I1" s="2">
        <v>80</v>
      </c>
      <c r="J1">
        <v>6.1247645999999998</v>
      </c>
      <c r="K1">
        <f>J1/60</f>
        <v>0.10207941</v>
      </c>
      <c r="L1" s="3">
        <f>I1+K1</f>
        <v>80.102079410000002</v>
      </c>
      <c r="M1">
        <f>-1*L1</f>
        <v>-80.102079410000002</v>
      </c>
    </row>
    <row r="2" spans="1:13" x14ac:dyDescent="0.2">
      <c r="A2" s="4" t="s">
        <v>41</v>
      </c>
      <c r="B2" s="2">
        <v>26</v>
      </c>
      <c r="C2">
        <v>4.8836496</v>
      </c>
      <c r="D2">
        <f t="shared" ref="D2:D43" si="0">C2/60</f>
        <v>8.1394160000000007E-2</v>
      </c>
      <c r="E2" s="3">
        <f t="shared" ref="E2:E43" si="1">B2+D2</f>
        <v>26.081394159999999</v>
      </c>
      <c r="I2" s="2">
        <v>80</v>
      </c>
      <c r="J2">
        <v>6.0745145999999997</v>
      </c>
      <c r="K2">
        <f t="shared" ref="K2:K43" si="2">J2/60</f>
        <v>0.10124190999999999</v>
      </c>
      <c r="L2" s="3">
        <f t="shared" ref="L2:L43" si="3">I2+K2</f>
        <v>80.101241909999999</v>
      </c>
      <c r="M2">
        <f t="shared" ref="M2:M43" si="4">-1*L2</f>
        <v>-80.101241909999999</v>
      </c>
    </row>
    <row r="3" spans="1:13" x14ac:dyDescent="0.2">
      <c r="A3" s="4" t="s">
        <v>42</v>
      </c>
      <c r="B3" s="2">
        <v>26</v>
      </c>
      <c r="C3">
        <v>5.0674919999999997</v>
      </c>
      <c r="D3">
        <f t="shared" si="0"/>
        <v>8.4458199999999997E-2</v>
      </c>
      <c r="E3" s="3">
        <f t="shared" si="1"/>
        <v>26.0844582</v>
      </c>
      <c r="I3" s="2">
        <v>80</v>
      </c>
      <c r="J3">
        <v>6.1078668</v>
      </c>
      <c r="K3">
        <f t="shared" si="2"/>
        <v>0.10179778</v>
      </c>
      <c r="L3" s="3">
        <f t="shared" si="3"/>
        <v>80.101797779999998</v>
      </c>
      <c r="M3">
        <f t="shared" si="4"/>
        <v>-80.101797779999998</v>
      </c>
    </row>
    <row r="4" spans="1:13" x14ac:dyDescent="0.2">
      <c r="A4" s="4" t="s">
        <v>43</v>
      </c>
      <c r="B4" s="2">
        <v>26</v>
      </c>
      <c r="C4">
        <v>4.9192836</v>
      </c>
      <c r="D4">
        <f t="shared" si="0"/>
        <v>8.1988060000000001E-2</v>
      </c>
      <c r="E4" s="3">
        <f t="shared" si="1"/>
        <v>26.08198806</v>
      </c>
      <c r="I4" s="2">
        <v>80</v>
      </c>
      <c r="J4">
        <v>5.9387357999999999</v>
      </c>
      <c r="K4">
        <f t="shared" si="2"/>
        <v>9.8978929999999993E-2</v>
      </c>
      <c r="L4" s="3">
        <f t="shared" si="3"/>
        <v>80.098978930000001</v>
      </c>
      <c r="M4">
        <f t="shared" si="4"/>
        <v>-80.098978930000001</v>
      </c>
    </row>
    <row r="5" spans="1:13" x14ac:dyDescent="0.2">
      <c r="A5" s="4" t="s">
        <v>44</v>
      </c>
      <c r="B5" s="2">
        <v>26</v>
      </c>
      <c r="C5">
        <v>5.0460773999999997</v>
      </c>
      <c r="D5">
        <f t="shared" si="0"/>
        <v>8.4101289999999995E-2</v>
      </c>
      <c r="E5" s="3">
        <f t="shared" si="1"/>
        <v>26.08410129</v>
      </c>
      <c r="I5" s="2">
        <v>80</v>
      </c>
      <c r="J5">
        <v>5.9531508000000004</v>
      </c>
      <c r="K5">
        <f t="shared" si="2"/>
        <v>9.9219180000000004E-2</v>
      </c>
      <c r="L5" s="3">
        <f t="shared" si="3"/>
        <v>80.099219180000006</v>
      </c>
      <c r="M5">
        <f t="shared" si="4"/>
        <v>-80.099219180000006</v>
      </c>
    </row>
    <row r="6" spans="1:13" x14ac:dyDescent="0.2">
      <c r="A6" s="4" t="s">
        <v>45</v>
      </c>
      <c r="B6" s="2">
        <v>26</v>
      </c>
      <c r="C6">
        <v>5.1628601999999999</v>
      </c>
      <c r="D6">
        <f t="shared" si="0"/>
        <v>8.6047669999999993E-2</v>
      </c>
      <c r="E6" s="3">
        <f t="shared" si="1"/>
        <v>26.086047669999999</v>
      </c>
      <c r="I6" s="2">
        <v>80</v>
      </c>
      <c r="J6">
        <v>6.0726725999999998</v>
      </c>
      <c r="K6">
        <f t="shared" si="2"/>
        <v>0.10121121</v>
      </c>
      <c r="L6" s="3">
        <f t="shared" si="3"/>
        <v>80.101211210000002</v>
      </c>
      <c r="M6">
        <f t="shared" si="4"/>
        <v>-80.101211210000002</v>
      </c>
    </row>
    <row r="7" spans="1:13" x14ac:dyDescent="0.2">
      <c r="A7" s="4" t="s">
        <v>46</v>
      </c>
      <c r="B7" s="2">
        <v>26</v>
      </c>
      <c r="C7">
        <v>5.2269918000000004</v>
      </c>
      <c r="D7">
        <f t="shared" si="0"/>
        <v>8.7116530000000011E-2</v>
      </c>
      <c r="E7" s="3">
        <f t="shared" si="1"/>
        <v>26.087116529999999</v>
      </c>
      <c r="I7" s="2">
        <v>80</v>
      </c>
      <c r="J7">
        <v>5.8640340000000002</v>
      </c>
      <c r="K7">
        <f t="shared" si="2"/>
        <v>9.7733899999999999E-2</v>
      </c>
      <c r="L7" s="3">
        <f t="shared" si="3"/>
        <v>80.097733899999994</v>
      </c>
      <c r="M7">
        <f t="shared" si="4"/>
        <v>-80.097733899999994</v>
      </c>
    </row>
    <row r="8" spans="1:13" x14ac:dyDescent="0.2">
      <c r="A8" s="4" t="s">
        <v>47</v>
      </c>
      <c r="B8" s="2">
        <v>26</v>
      </c>
      <c r="C8">
        <v>4.9344516</v>
      </c>
      <c r="D8">
        <f t="shared" si="0"/>
        <v>8.2240859999999999E-2</v>
      </c>
      <c r="E8" s="3">
        <f t="shared" si="1"/>
        <v>26.082240859999999</v>
      </c>
      <c r="I8" s="2">
        <v>80</v>
      </c>
      <c r="J8">
        <v>5.8417914</v>
      </c>
      <c r="K8">
        <f t="shared" si="2"/>
        <v>9.7363190000000002E-2</v>
      </c>
      <c r="L8" s="3">
        <f t="shared" si="3"/>
        <v>80.097363189999996</v>
      </c>
      <c r="M8">
        <f t="shared" si="4"/>
        <v>-80.097363189999996</v>
      </c>
    </row>
    <row r="9" spans="1:13" x14ac:dyDescent="0.2">
      <c r="A9" s="4" t="s">
        <v>48</v>
      </c>
      <c r="B9" s="2">
        <v>26</v>
      </c>
      <c r="C9">
        <v>4.6138956000000002</v>
      </c>
      <c r="D9">
        <f t="shared" si="0"/>
        <v>7.689826000000001E-2</v>
      </c>
      <c r="E9" s="3">
        <f t="shared" si="1"/>
        <v>26.07689826</v>
      </c>
      <c r="I9" s="2">
        <v>80</v>
      </c>
      <c r="J9">
        <v>5.7159654</v>
      </c>
      <c r="K9">
        <f t="shared" si="2"/>
        <v>9.5266089999999998E-2</v>
      </c>
      <c r="L9" s="3">
        <f t="shared" si="3"/>
        <v>80.095266089999996</v>
      </c>
      <c r="M9">
        <f t="shared" si="4"/>
        <v>-80.095266089999996</v>
      </c>
    </row>
    <row r="10" spans="1:13" x14ac:dyDescent="0.2">
      <c r="A10" s="4" t="s">
        <v>49</v>
      </c>
      <c r="B10" s="2">
        <v>26</v>
      </c>
      <c r="C10">
        <v>5.2821474000000004</v>
      </c>
      <c r="D10">
        <f t="shared" si="0"/>
        <v>8.8035790000000003E-2</v>
      </c>
      <c r="E10" s="3">
        <f t="shared" si="1"/>
        <v>26.088035789999999</v>
      </c>
      <c r="I10" s="2">
        <v>80</v>
      </c>
      <c r="J10">
        <v>5.7524316000000004</v>
      </c>
      <c r="K10">
        <f t="shared" si="2"/>
        <v>9.5873860000000005E-2</v>
      </c>
      <c r="L10" s="3">
        <f t="shared" si="3"/>
        <v>80.095873859999998</v>
      </c>
      <c r="M10">
        <f t="shared" si="4"/>
        <v>-80.095873859999998</v>
      </c>
    </row>
    <row r="11" spans="1:13" x14ac:dyDescent="0.2">
      <c r="A11" s="4" t="s">
        <v>50</v>
      </c>
      <c r="B11" s="2">
        <v>26</v>
      </c>
      <c r="C11">
        <v>5.0298635999999997</v>
      </c>
      <c r="D11">
        <f t="shared" si="0"/>
        <v>8.3831059999999999E-2</v>
      </c>
      <c r="E11" s="3">
        <f t="shared" si="1"/>
        <v>26.083831060000001</v>
      </c>
      <c r="I11" s="2">
        <v>80</v>
      </c>
      <c r="J11">
        <v>5.8830119999999999</v>
      </c>
      <c r="K11">
        <f t="shared" si="2"/>
        <v>9.8050200000000004E-2</v>
      </c>
      <c r="L11" s="3">
        <f t="shared" si="3"/>
        <v>80.098050200000003</v>
      </c>
      <c r="M11">
        <f t="shared" si="4"/>
        <v>-80.098050200000003</v>
      </c>
    </row>
    <row r="12" spans="1:13" x14ac:dyDescent="0.2">
      <c r="A12" s="4" t="s">
        <v>51</v>
      </c>
      <c r="B12" s="2">
        <v>26</v>
      </c>
      <c r="C12">
        <v>5.3540000000000001</v>
      </c>
      <c r="D12">
        <f t="shared" si="0"/>
        <v>8.9233333333333331E-2</v>
      </c>
      <c r="E12" s="3">
        <f t="shared" si="1"/>
        <v>26.089233333333333</v>
      </c>
      <c r="I12" s="2">
        <v>80</v>
      </c>
      <c r="J12">
        <v>5.7610000000000001</v>
      </c>
      <c r="K12">
        <f t="shared" si="2"/>
        <v>9.6016666666666667E-2</v>
      </c>
      <c r="L12" s="3">
        <f t="shared" si="3"/>
        <v>80.096016666666671</v>
      </c>
      <c r="M12">
        <f t="shared" si="4"/>
        <v>-80.096016666666671</v>
      </c>
    </row>
    <row r="13" spans="1:13" x14ac:dyDescent="0.2">
      <c r="A13" s="4" t="s">
        <v>52</v>
      </c>
      <c r="B13" s="2">
        <v>26</v>
      </c>
      <c r="C13">
        <v>5.1765318000000002</v>
      </c>
      <c r="D13">
        <f t="shared" si="0"/>
        <v>8.6275530000000003E-2</v>
      </c>
      <c r="E13" s="3">
        <f t="shared" si="1"/>
        <v>26.086275530000002</v>
      </c>
      <c r="I13" s="2">
        <v>80</v>
      </c>
      <c r="J13">
        <v>6.1917390000000001</v>
      </c>
      <c r="K13">
        <f t="shared" si="2"/>
        <v>0.10319565</v>
      </c>
      <c r="L13" s="3">
        <f t="shared" si="3"/>
        <v>80.103195650000004</v>
      </c>
      <c r="M13">
        <f t="shared" si="4"/>
        <v>-80.103195650000004</v>
      </c>
    </row>
    <row r="14" spans="1:13" x14ac:dyDescent="0.2">
      <c r="A14" s="4" t="s">
        <v>53</v>
      </c>
      <c r="B14" s="2">
        <v>26</v>
      </c>
      <c r="C14">
        <v>5.4452693999999999</v>
      </c>
      <c r="D14">
        <f t="shared" si="0"/>
        <v>9.0754489999999993E-2</v>
      </c>
      <c r="E14" s="3">
        <f t="shared" si="1"/>
        <v>26.090754489999998</v>
      </c>
      <c r="I14" s="2">
        <v>80</v>
      </c>
      <c r="J14">
        <v>6.1607681999999997</v>
      </c>
      <c r="K14">
        <f t="shared" si="2"/>
        <v>0.10267946999999999</v>
      </c>
      <c r="L14" s="3">
        <f t="shared" si="3"/>
        <v>80.102679469999998</v>
      </c>
      <c r="M14">
        <f t="shared" si="4"/>
        <v>-80.102679469999998</v>
      </c>
    </row>
    <row r="15" spans="1:13" x14ac:dyDescent="0.2">
      <c r="A15" s="4" t="s">
        <v>54</v>
      </c>
      <c r="B15" s="2">
        <v>26</v>
      </c>
      <c r="C15">
        <v>5.3351886000000004</v>
      </c>
      <c r="D15">
        <f t="shared" si="0"/>
        <v>8.8919810000000002E-2</v>
      </c>
      <c r="E15" s="3">
        <f t="shared" si="1"/>
        <v>26.08891981</v>
      </c>
      <c r="I15" s="2">
        <v>80</v>
      </c>
      <c r="J15">
        <v>6.1900206000000004</v>
      </c>
      <c r="K15">
        <f t="shared" si="2"/>
        <v>0.10316701</v>
      </c>
      <c r="L15" s="3">
        <f t="shared" si="3"/>
        <v>80.103167010000007</v>
      </c>
      <c r="M15">
        <f t="shared" si="4"/>
        <v>-80.103167010000007</v>
      </c>
    </row>
    <row r="16" spans="1:13" x14ac:dyDescent="0.2">
      <c r="A16" s="4" t="s">
        <v>55</v>
      </c>
      <c r="B16" s="2">
        <v>26</v>
      </c>
      <c r="C16">
        <v>4.6254473999999997</v>
      </c>
      <c r="D16">
        <f t="shared" si="0"/>
        <v>7.7090789999999992E-2</v>
      </c>
      <c r="E16" s="3">
        <f t="shared" si="1"/>
        <v>26.07709079</v>
      </c>
      <c r="I16" s="2">
        <v>80</v>
      </c>
      <c r="J16">
        <v>6.2116692000000002</v>
      </c>
      <c r="K16">
        <f t="shared" si="2"/>
        <v>0.10352782000000001</v>
      </c>
      <c r="L16" s="3">
        <f t="shared" si="3"/>
        <v>80.103527819999996</v>
      </c>
      <c r="M16">
        <f t="shared" si="4"/>
        <v>-80.103527819999996</v>
      </c>
    </row>
    <row r="17" spans="1:13" x14ac:dyDescent="0.2">
      <c r="A17" s="4" t="s">
        <v>56</v>
      </c>
      <c r="B17" s="2">
        <v>26</v>
      </c>
      <c r="C17">
        <v>5.3030261999999997</v>
      </c>
      <c r="D17">
        <f t="shared" si="0"/>
        <v>8.838377E-2</v>
      </c>
      <c r="E17" s="3">
        <f t="shared" si="1"/>
        <v>26.08838377</v>
      </c>
      <c r="I17" s="2">
        <v>80</v>
      </c>
      <c r="J17">
        <v>6.3798083999999999</v>
      </c>
      <c r="K17">
        <f t="shared" si="2"/>
        <v>0.10633014</v>
      </c>
      <c r="L17" s="3">
        <f t="shared" si="3"/>
        <v>80.106330139999997</v>
      </c>
      <c r="M17">
        <f t="shared" si="4"/>
        <v>-80.106330139999997</v>
      </c>
    </row>
    <row r="18" spans="1:13" x14ac:dyDescent="0.2">
      <c r="A18" s="4" t="s">
        <v>57</v>
      </c>
      <c r="B18" s="2">
        <v>26</v>
      </c>
      <c r="C18">
        <v>6.3155669999999997</v>
      </c>
      <c r="D18">
        <f t="shared" si="0"/>
        <v>0.10525944999999999</v>
      </c>
      <c r="E18" s="3">
        <f t="shared" si="1"/>
        <v>26.105259449999998</v>
      </c>
      <c r="I18" s="2">
        <v>80</v>
      </c>
      <c r="J18">
        <v>5.6358899999999998</v>
      </c>
      <c r="K18">
        <f t="shared" si="2"/>
        <v>9.3931500000000001E-2</v>
      </c>
      <c r="L18" s="3">
        <f t="shared" si="3"/>
        <v>80.093931499999997</v>
      </c>
      <c r="M18">
        <f t="shared" si="4"/>
        <v>-80.093931499999997</v>
      </c>
    </row>
    <row r="19" spans="1:13" x14ac:dyDescent="0.2">
      <c r="A19" s="4" t="s">
        <v>58</v>
      </c>
      <c r="B19" s="2">
        <v>26</v>
      </c>
      <c r="C19">
        <v>6.4374678000000003</v>
      </c>
      <c r="D19">
        <f t="shared" si="0"/>
        <v>0.10729113</v>
      </c>
      <c r="E19" s="3">
        <f t="shared" si="1"/>
        <v>26.10729113</v>
      </c>
      <c r="I19" s="2">
        <v>80</v>
      </c>
      <c r="J19">
        <v>5.6619498000000004</v>
      </c>
      <c r="K19">
        <f t="shared" si="2"/>
        <v>9.4365830000000012E-2</v>
      </c>
      <c r="L19" s="3">
        <f t="shared" si="3"/>
        <v>80.094365830000001</v>
      </c>
      <c r="M19">
        <f t="shared" si="4"/>
        <v>-80.094365830000001</v>
      </c>
    </row>
    <row r="20" spans="1:13" x14ac:dyDescent="0.2">
      <c r="A20" s="4" t="s">
        <v>59</v>
      </c>
      <c r="B20" s="2">
        <v>26</v>
      </c>
      <c r="C20">
        <v>6.1447403999999999</v>
      </c>
      <c r="D20">
        <f t="shared" si="0"/>
        <v>0.10241234</v>
      </c>
      <c r="E20" s="3">
        <f t="shared" si="1"/>
        <v>26.102412340000001</v>
      </c>
      <c r="I20" s="2">
        <v>80</v>
      </c>
      <c r="J20">
        <v>5.6034480000000002</v>
      </c>
      <c r="K20">
        <f t="shared" si="2"/>
        <v>9.339080000000001E-2</v>
      </c>
      <c r="L20" s="3">
        <f t="shared" si="3"/>
        <v>80.093390799999995</v>
      </c>
      <c r="M20">
        <f t="shared" si="4"/>
        <v>-80.093390799999995</v>
      </c>
    </row>
    <row r="21" spans="1:13" x14ac:dyDescent="0.2">
      <c r="A21" s="4" t="s">
        <v>60</v>
      </c>
      <c r="B21" s="2">
        <v>26</v>
      </c>
      <c r="C21">
        <v>5.9980919999999998</v>
      </c>
      <c r="D21">
        <f t="shared" si="0"/>
        <v>9.9968199999999993E-2</v>
      </c>
      <c r="E21" s="3">
        <f t="shared" si="1"/>
        <v>26.099968199999999</v>
      </c>
      <c r="I21" s="2">
        <v>80</v>
      </c>
      <c r="J21">
        <v>5.7263771999999999</v>
      </c>
      <c r="K21">
        <f t="shared" si="2"/>
        <v>9.5439620000000003E-2</v>
      </c>
      <c r="L21" s="3">
        <f t="shared" si="3"/>
        <v>80.095439619999993</v>
      </c>
      <c r="M21">
        <f t="shared" si="4"/>
        <v>-80.095439619999993</v>
      </c>
    </row>
    <row r="22" spans="1:13" x14ac:dyDescent="0.2">
      <c r="A22" s="4" t="s">
        <v>61</v>
      </c>
      <c r="B22" s="2">
        <v>26</v>
      </c>
      <c r="C22">
        <v>5.9206517999999999</v>
      </c>
      <c r="D22">
        <f t="shared" si="0"/>
        <v>9.8677529999999999E-2</v>
      </c>
      <c r="E22" s="3">
        <f t="shared" si="1"/>
        <v>26.09867753</v>
      </c>
      <c r="I22" s="2">
        <v>80</v>
      </c>
      <c r="J22">
        <v>5.7448817999999999</v>
      </c>
      <c r="K22">
        <f t="shared" si="2"/>
        <v>9.5748029999999998E-2</v>
      </c>
      <c r="L22" s="3">
        <f t="shared" si="3"/>
        <v>80.095748029999996</v>
      </c>
      <c r="M22">
        <f t="shared" si="4"/>
        <v>-80.095748029999996</v>
      </c>
    </row>
    <row r="23" spans="1:13" x14ac:dyDescent="0.2">
      <c r="A23" s="4" t="s">
        <v>62</v>
      </c>
      <c r="B23" s="2">
        <v>26</v>
      </c>
      <c r="C23">
        <v>6.6865781999999996</v>
      </c>
      <c r="D23">
        <f t="shared" si="0"/>
        <v>0.11144296999999999</v>
      </c>
      <c r="E23" s="3">
        <f t="shared" si="1"/>
        <v>26.111442969999999</v>
      </c>
      <c r="I23" s="2">
        <v>80</v>
      </c>
      <c r="J23">
        <v>5.5995521999999998</v>
      </c>
      <c r="K23">
        <f t="shared" si="2"/>
        <v>9.3325869999999991E-2</v>
      </c>
      <c r="L23" s="3">
        <f t="shared" si="3"/>
        <v>80.093325870000001</v>
      </c>
      <c r="M23">
        <f t="shared" si="4"/>
        <v>-80.093325870000001</v>
      </c>
    </row>
    <row r="24" spans="1:13" x14ac:dyDescent="0.2">
      <c r="A24" s="4" t="s">
        <v>63</v>
      </c>
      <c r="B24" s="2">
        <v>26</v>
      </c>
      <c r="C24">
        <v>6.5338512</v>
      </c>
      <c r="D24">
        <f t="shared" si="0"/>
        <v>0.10889752</v>
      </c>
      <c r="E24" s="3">
        <f t="shared" si="1"/>
        <v>26.108897519999999</v>
      </c>
      <c r="I24" s="2">
        <v>80</v>
      </c>
      <c r="J24">
        <v>6.1830281999999999</v>
      </c>
      <c r="K24">
        <f t="shared" si="2"/>
        <v>0.10305046999999999</v>
      </c>
      <c r="L24" s="3">
        <f t="shared" si="3"/>
        <v>80.103050469999999</v>
      </c>
      <c r="M24">
        <f t="shared" si="4"/>
        <v>-80.103050469999999</v>
      </c>
    </row>
    <row r="25" spans="1:13" x14ac:dyDescent="0.2">
      <c r="A25" s="4" t="s">
        <v>64</v>
      </c>
      <c r="B25" s="2">
        <v>26</v>
      </c>
      <c r="C25">
        <v>6.3491106000000004</v>
      </c>
      <c r="D25">
        <f t="shared" si="0"/>
        <v>0.10581851</v>
      </c>
      <c r="E25" s="3">
        <f t="shared" si="1"/>
        <v>26.105818509999999</v>
      </c>
      <c r="I25" s="2">
        <v>80</v>
      </c>
      <c r="J25">
        <v>6.1475274000000004</v>
      </c>
      <c r="K25">
        <f t="shared" si="2"/>
        <v>0.10245879000000001</v>
      </c>
      <c r="L25" s="3">
        <f t="shared" si="3"/>
        <v>80.10245879</v>
      </c>
      <c r="M25">
        <f t="shared" si="4"/>
        <v>-80.10245879</v>
      </c>
    </row>
    <row r="26" spans="1:13" x14ac:dyDescent="0.2">
      <c r="A26" s="4" t="s">
        <v>65</v>
      </c>
      <c r="B26" s="2">
        <v>26</v>
      </c>
      <c r="C26">
        <v>6.7212696000000003</v>
      </c>
      <c r="D26">
        <f t="shared" si="0"/>
        <v>0.11202116000000001</v>
      </c>
      <c r="E26" s="3">
        <f t="shared" si="1"/>
        <v>26.112021160000001</v>
      </c>
      <c r="I26" s="2">
        <v>80</v>
      </c>
      <c r="J26">
        <v>6.1335756000000003</v>
      </c>
      <c r="K26">
        <f t="shared" si="2"/>
        <v>0.10222626</v>
      </c>
      <c r="L26" s="3">
        <f t="shared" si="3"/>
        <v>80.102226259999995</v>
      </c>
      <c r="M26">
        <f t="shared" si="4"/>
        <v>-80.102226259999995</v>
      </c>
    </row>
    <row r="27" spans="1:13" x14ac:dyDescent="0.2">
      <c r="A27" s="4" t="s">
        <v>66</v>
      </c>
      <c r="B27" s="2">
        <v>26</v>
      </c>
      <c r="C27">
        <v>6.2918142000000001</v>
      </c>
      <c r="D27">
        <f t="shared" si="0"/>
        <v>0.10486357</v>
      </c>
      <c r="E27" s="3">
        <f t="shared" si="1"/>
        <v>26.104863569999999</v>
      </c>
      <c r="I27" s="2">
        <v>80</v>
      </c>
      <c r="J27">
        <v>6.1664213999999999</v>
      </c>
      <c r="K27">
        <f t="shared" si="2"/>
        <v>0.10277369</v>
      </c>
      <c r="L27" s="3">
        <f t="shared" si="3"/>
        <v>80.102773690000006</v>
      </c>
      <c r="M27">
        <f t="shared" si="4"/>
        <v>-80.102773690000006</v>
      </c>
    </row>
    <row r="28" spans="1:13" x14ac:dyDescent="0.2">
      <c r="A28" s="4" t="s">
        <v>67</v>
      </c>
      <c r="B28" s="2">
        <v>26</v>
      </c>
      <c r="C28">
        <v>6.6082302000000004</v>
      </c>
      <c r="D28">
        <f t="shared" si="0"/>
        <v>0.11013717000000001</v>
      </c>
      <c r="E28" s="3">
        <f t="shared" si="1"/>
        <v>26.110137170000002</v>
      </c>
      <c r="I28" s="2">
        <v>80</v>
      </c>
      <c r="J28">
        <v>6.1309854000000001</v>
      </c>
      <c r="K28">
        <f t="shared" si="2"/>
        <v>0.10218309</v>
      </c>
      <c r="L28" s="3">
        <f t="shared" si="3"/>
        <v>80.102183089999997</v>
      </c>
      <c r="M28">
        <f t="shared" si="4"/>
        <v>-80.102183089999997</v>
      </c>
    </row>
    <row r="29" spans="1:13" x14ac:dyDescent="0.2">
      <c r="A29" s="4" t="s">
        <v>68</v>
      </c>
      <c r="B29" s="2">
        <v>26</v>
      </c>
      <c r="C29">
        <v>6.4840847999999998</v>
      </c>
      <c r="D29">
        <f t="shared" si="0"/>
        <v>0.10806808</v>
      </c>
      <c r="E29" s="3">
        <f t="shared" si="1"/>
        <v>26.108068079999999</v>
      </c>
      <c r="I29" s="2">
        <v>80</v>
      </c>
      <c r="J29">
        <v>6.017811</v>
      </c>
      <c r="K29">
        <f t="shared" si="2"/>
        <v>0.10029685000000001</v>
      </c>
      <c r="L29" s="3">
        <f t="shared" si="3"/>
        <v>80.100296850000007</v>
      </c>
      <c r="M29">
        <f t="shared" si="4"/>
        <v>-80.100296850000007</v>
      </c>
    </row>
    <row r="30" spans="1:13" x14ac:dyDescent="0.2">
      <c r="A30" s="4" t="s">
        <v>69</v>
      </c>
      <c r="B30" s="2">
        <v>26</v>
      </c>
      <c r="C30">
        <v>6.0736368000000001</v>
      </c>
      <c r="D30">
        <f t="shared" si="0"/>
        <v>0.10122728</v>
      </c>
      <c r="E30" s="3">
        <f t="shared" si="1"/>
        <v>26.10122728</v>
      </c>
      <c r="I30" s="2">
        <v>80</v>
      </c>
      <c r="J30">
        <v>6.0942005999999997</v>
      </c>
      <c r="K30">
        <f t="shared" si="2"/>
        <v>0.10157001</v>
      </c>
      <c r="L30" s="3">
        <f t="shared" si="3"/>
        <v>80.101570010000003</v>
      </c>
      <c r="M30">
        <f t="shared" si="4"/>
        <v>-80.101570010000003</v>
      </c>
    </row>
    <row r="31" spans="1:13" x14ac:dyDescent="0.2">
      <c r="A31" s="4" t="s">
        <v>70</v>
      </c>
      <c r="B31" s="2">
        <v>26</v>
      </c>
      <c r="C31">
        <v>6.1329786000000004</v>
      </c>
      <c r="D31">
        <f t="shared" si="0"/>
        <v>0.10221631</v>
      </c>
      <c r="E31" s="3">
        <f t="shared" si="1"/>
        <v>26.102216309999999</v>
      </c>
      <c r="I31" s="2">
        <v>80</v>
      </c>
      <c r="J31">
        <v>6.0345072000000002</v>
      </c>
      <c r="K31">
        <f t="shared" si="2"/>
        <v>0.10057512</v>
      </c>
      <c r="L31" s="3">
        <f t="shared" si="3"/>
        <v>80.100575120000002</v>
      </c>
      <c r="M31">
        <f t="shared" si="4"/>
        <v>-80.100575120000002</v>
      </c>
    </row>
    <row r="32" spans="1:13" x14ac:dyDescent="0.2">
      <c r="A32" s="4" t="s">
        <v>71</v>
      </c>
      <c r="B32" s="2">
        <v>26</v>
      </c>
      <c r="C32">
        <v>6.3807359999999997</v>
      </c>
      <c r="D32">
        <f t="shared" si="0"/>
        <v>0.1063456</v>
      </c>
      <c r="E32" s="3">
        <f t="shared" si="1"/>
        <v>26.106345600000001</v>
      </c>
      <c r="I32" s="2">
        <v>80</v>
      </c>
      <c r="J32">
        <v>6.0457710000000002</v>
      </c>
      <c r="K32">
        <f t="shared" si="2"/>
        <v>0.10076285</v>
      </c>
      <c r="L32" s="3">
        <f t="shared" si="3"/>
        <v>80.100762849999995</v>
      </c>
      <c r="M32">
        <f t="shared" si="4"/>
        <v>-80.100762849999995</v>
      </c>
    </row>
    <row r="33" spans="1:13" x14ac:dyDescent="0.2">
      <c r="A33" s="4" t="s">
        <v>72</v>
      </c>
      <c r="B33" s="2">
        <v>26</v>
      </c>
      <c r="C33">
        <v>6.2917968000000002</v>
      </c>
      <c r="D33">
        <f t="shared" si="0"/>
        <v>0.10486328</v>
      </c>
      <c r="E33" s="3">
        <f t="shared" si="1"/>
        <v>26.10486328</v>
      </c>
      <c r="I33" s="2">
        <v>80</v>
      </c>
      <c r="J33">
        <v>6.0568727999999998</v>
      </c>
      <c r="K33">
        <f t="shared" si="2"/>
        <v>0.10094788</v>
      </c>
      <c r="L33" s="3">
        <f t="shared" si="3"/>
        <v>80.100947880000007</v>
      </c>
      <c r="M33">
        <f t="shared" si="4"/>
        <v>-80.100947880000007</v>
      </c>
    </row>
    <row r="34" spans="1:13" x14ac:dyDescent="0.2">
      <c r="A34" s="4" t="s">
        <v>73</v>
      </c>
      <c r="B34" s="2">
        <v>26</v>
      </c>
      <c r="C34">
        <v>6.1801716000000004</v>
      </c>
      <c r="D34">
        <f t="shared" si="0"/>
        <v>0.10300286</v>
      </c>
      <c r="E34" s="3">
        <f t="shared" si="1"/>
        <v>26.10300286</v>
      </c>
      <c r="I34" s="2">
        <v>80</v>
      </c>
      <c r="J34">
        <v>6.0746453999999996</v>
      </c>
      <c r="K34">
        <f t="shared" si="2"/>
        <v>0.10124408999999999</v>
      </c>
      <c r="L34" s="3">
        <f t="shared" si="3"/>
        <v>80.101244089999994</v>
      </c>
      <c r="M34">
        <f t="shared" si="4"/>
        <v>-80.101244089999994</v>
      </c>
    </row>
    <row r="35" spans="1:13" x14ac:dyDescent="0.2">
      <c r="A35" s="4" t="s">
        <v>74</v>
      </c>
      <c r="B35" s="2">
        <v>26</v>
      </c>
      <c r="C35">
        <v>5.9939580000000001</v>
      </c>
      <c r="D35">
        <f t="shared" si="0"/>
        <v>9.9899299999999996E-2</v>
      </c>
      <c r="E35" s="3">
        <f t="shared" si="1"/>
        <v>26.099899300000001</v>
      </c>
      <c r="I35" s="2">
        <v>80</v>
      </c>
      <c r="J35">
        <v>6.0611778000000003</v>
      </c>
      <c r="K35">
        <f t="shared" si="2"/>
        <v>0.10101963</v>
      </c>
      <c r="L35" s="3">
        <f t="shared" si="3"/>
        <v>80.101019629999996</v>
      </c>
      <c r="M35">
        <f t="shared" si="4"/>
        <v>-80.101019629999996</v>
      </c>
    </row>
    <row r="36" spans="1:13" x14ac:dyDescent="0.2">
      <c r="A36" s="4" t="s">
        <v>75</v>
      </c>
      <c r="B36" s="2">
        <v>26</v>
      </c>
      <c r="C36">
        <v>5.9660574000000004</v>
      </c>
      <c r="D36">
        <f t="shared" si="0"/>
        <v>9.9434290000000009E-2</v>
      </c>
      <c r="E36" s="3">
        <f t="shared" si="1"/>
        <v>26.099434290000001</v>
      </c>
      <c r="I36" s="2">
        <v>80</v>
      </c>
      <c r="J36">
        <v>6.1378235999999999</v>
      </c>
      <c r="K36">
        <f t="shared" si="2"/>
        <v>0.10229706</v>
      </c>
      <c r="L36" s="3">
        <f t="shared" si="3"/>
        <v>80.102297059999998</v>
      </c>
      <c r="M36">
        <f t="shared" si="4"/>
        <v>-80.102297059999998</v>
      </c>
    </row>
    <row r="37" spans="1:13" x14ac:dyDescent="0.2">
      <c r="A37" s="4" t="s">
        <v>76</v>
      </c>
      <c r="B37" s="2">
        <v>26</v>
      </c>
      <c r="C37">
        <v>5.9151102</v>
      </c>
      <c r="D37">
        <f t="shared" si="0"/>
        <v>9.858517E-2</v>
      </c>
      <c r="E37" s="3">
        <f t="shared" si="1"/>
        <v>26.09858517</v>
      </c>
      <c r="I37" s="2">
        <v>80</v>
      </c>
      <c r="J37">
        <v>6.089817</v>
      </c>
      <c r="K37">
        <f t="shared" si="2"/>
        <v>0.10149695</v>
      </c>
      <c r="L37" s="3">
        <f t="shared" si="3"/>
        <v>80.101496949999998</v>
      </c>
      <c r="M37">
        <f t="shared" si="4"/>
        <v>-80.101496949999998</v>
      </c>
    </row>
    <row r="38" spans="1:13" x14ac:dyDescent="0.2">
      <c r="A38" s="4" t="s">
        <v>77</v>
      </c>
      <c r="B38" s="2">
        <v>26</v>
      </c>
      <c r="C38">
        <v>6.2557596000000002</v>
      </c>
      <c r="D38">
        <f t="shared" si="0"/>
        <v>0.10426266000000001</v>
      </c>
      <c r="E38" s="3">
        <f t="shared" si="1"/>
        <v>26.10426266</v>
      </c>
      <c r="I38" s="2">
        <v>80</v>
      </c>
      <c r="J38">
        <v>5.9672555999999997</v>
      </c>
      <c r="K38">
        <f t="shared" si="2"/>
        <v>9.9454259999999989E-2</v>
      </c>
      <c r="L38" s="3">
        <f t="shared" si="3"/>
        <v>80.099454260000002</v>
      </c>
      <c r="M38">
        <f t="shared" si="4"/>
        <v>-80.099454260000002</v>
      </c>
    </row>
    <row r="39" spans="1:13" x14ac:dyDescent="0.2">
      <c r="A39" s="4" t="s">
        <v>78</v>
      </c>
      <c r="B39" s="2">
        <v>26</v>
      </c>
      <c r="C39">
        <v>6.1140618</v>
      </c>
      <c r="D39">
        <f t="shared" si="0"/>
        <v>0.10190103</v>
      </c>
      <c r="E39" s="3">
        <f t="shared" si="1"/>
        <v>26.101901030000001</v>
      </c>
      <c r="I39" s="2">
        <v>80</v>
      </c>
      <c r="J39">
        <v>5.7838001999999999</v>
      </c>
      <c r="K39">
        <f t="shared" si="2"/>
        <v>9.6396670000000004E-2</v>
      </c>
      <c r="L39" s="3">
        <f t="shared" si="3"/>
        <v>80.096396670000004</v>
      </c>
      <c r="M39">
        <f t="shared" si="4"/>
        <v>-80.096396670000004</v>
      </c>
    </row>
    <row r="40" spans="1:13" x14ac:dyDescent="0.2">
      <c r="A40" s="4" t="s">
        <v>79</v>
      </c>
      <c r="B40" s="2">
        <v>26</v>
      </c>
      <c r="C40">
        <v>5.9070539999999996</v>
      </c>
      <c r="D40">
        <f t="shared" si="0"/>
        <v>9.8450899999999994E-2</v>
      </c>
      <c r="E40" s="3">
        <f t="shared" si="1"/>
        <v>26.0984509</v>
      </c>
      <c r="I40" s="2">
        <v>80</v>
      </c>
      <c r="J40">
        <v>5.8030841999999998</v>
      </c>
      <c r="K40">
        <f t="shared" si="2"/>
        <v>9.6718070000000003E-2</v>
      </c>
      <c r="L40" s="3">
        <f t="shared" si="3"/>
        <v>80.096718069999994</v>
      </c>
      <c r="M40">
        <f t="shared" si="4"/>
        <v>-80.096718069999994</v>
      </c>
    </row>
    <row r="41" spans="1:13" x14ac:dyDescent="0.2">
      <c r="A41" s="4" t="s">
        <v>80</v>
      </c>
      <c r="B41" s="2">
        <v>26</v>
      </c>
      <c r="C41">
        <v>6.5864652000000001</v>
      </c>
      <c r="D41">
        <f t="shared" si="0"/>
        <v>0.10977442</v>
      </c>
      <c r="E41" s="3">
        <f t="shared" si="1"/>
        <v>26.109774420000001</v>
      </c>
      <c r="I41" s="2">
        <v>80</v>
      </c>
      <c r="J41">
        <v>5.7349491947580002</v>
      </c>
      <c r="K41">
        <f t="shared" si="2"/>
        <v>9.5582486579300005E-2</v>
      </c>
      <c r="L41" s="3">
        <f t="shared" si="3"/>
        <v>80.095582486579303</v>
      </c>
      <c r="M41">
        <f t="shared" si="4"/>
        <v>-80.095582486579303</v>
      </c>
    </row>
    <row r="42" spans="1:13" x14ac:dyDescent="0.2">
      <c r="A42" s="4" t="s">
        <v>81</v>
      </c>
      <c r="B42" s="2">
        <v>26</v>
      </c>
      <c r="C42">
        <v>6.1585445999999999</v>
      </c>
      <c r="D42">
        <f t="shared" si="0"/>
        <v>0.10264241</v>
      </c>
      <c r="E42" s="3">
        <f t="shared" si="1"/>
        <v>26.102642410000001</v>
      </c>
      <c r="I42" s="2">
        <v>80</v>
      </c>
      <c r="J42">
        <v>5.9060867999999997</v>
      </c>
      <c r="K42">
        <f t="shared" si="2"/>
        <v>9.843478E-2</v>
      </c>
      <c r="L42" s="3">
        <f t="shared" si="3"/>
        <v>80.098434780000005</v>
      </c>
      <c r="M42">
        <f t="shared" si="4"/>
        <v>-80.098434780000005</v>
      </c>
    </row>
    <row r="43" spans="1:13" x14ac:dyDescent="0.2">
      <c r="A43" s="4" t="s">
        <v>82</v>
      </c>
      <c r="B43" s="2">
        <v>26</v>
      </c>
      <c r="C43">
        <v>6.4240199999999996</v>
      </c>
      <c r="D43">
        <f t="shared" si="0"/>
        <v>0.107067</v>
      </c>
      <c r="E43" s="3">
        <f t="shared" si="1"/>
        <v>26.107067000000001</v>
      </c>
      <c r="I43" s="2">
        <v>80</v>
      </c>
      <c r="J43">
        <v>5.937093</v>
      </c>
      <c r="K43">
        <f t="shared" si="2"/>
        <v>9.8951549999999999E-2</v>
      </c>
      <c r="L43" s="3">
        <f t="shared" si="3"/>
        <v>80.098951549999995</v>
      </c>
      <c r="M43">
        <f t="shared" si="4"/>
        <v>-80.098951549999995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Nova Southeastern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WalkerLab06</dc:creator>
  <cp:lastModifiedBy>Cunning, Ross</cp:lastModifiedBy>
  <dcterms:created xsi:type="dcterms:W3CDTF">2013-01-09T15:58:39Z</dcterms:created>
  <dcterms:modified xsi:type="dcterms:W3CDTF">2026-08-20T19:03:14Z</dcterms:modified>
</cp:coreProperties>
</file>